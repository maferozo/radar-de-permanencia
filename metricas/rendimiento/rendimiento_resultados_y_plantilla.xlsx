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dimiento" sheetId="1" state="visible" r:id="rId3"/>
    <sheet name="Resultados medidos" sheetId="2" state="visible" r:id="rId4"/>
    <sheet name="Plantill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<sst xmlns="http://schemas.openxmlformats.org/spreadsheetml/2006/main" count="57" uniqueCount="40">
  <si>
    <t xml:space="preserve">Radar de permanencia · Indicadores de rendimiento del sistema</t>
  </si>
  <si>
    <t xml:space="preserve">Objetivos de diseño (RNF-07, propuesta del documento técnico; no son resultados): filtro &lt; 3 s; semáforo &lt; 2 s; referencia de volumen 50.000 registros.</t>
  </si>
  <si>
    <t xml:space="preserve">Procedimiento reproducible: 1) cd prototipo &amp;&amp; npm install &amp;&amp; npm run build   2) python3 pruebas/test_e2e.py</t>
  </si>
  <si>
    <t xml:space="preserve">La prueba abre dist/index.html en Chromium (Playwright), mide 10 cargas iniciales, 10 aperturas por pantalla, 20 cambios de filtro (acción → indicador actualizado),</t>
  </si>
  <si>
    <t xml:space="preserve">20 evaluaciones del semáforo (clic → resultado visible) y 10 recálculos completos sobre 50.000 registros remuestreados con semilla fija.</t>
  </si>
  <si>
    <t xml:space="preserve">Los tiempos de Playwright incluyen la sobrecarga de la herramienta, por lo que son una cota superior del tiempo que percibe un usuario.</t>
  </si>
  <si>
    <t xml:space="preserve">Para medir en el equipo del cliente: abra la pestaña Seguimiento › Rendimiento del prototipo y use «Ejecutar medición»; copie los valores en la hoja «Plantilla».</t>
  </si>
  <si>
    <t xml:space="preserve">Pendiente: medición con el dashboard final (Power BI) y con datos reales del cliente.</t>
  </si>
  <si>
    <t xml:space="preserve">Fecha y hora: 2026-10-27T20:12:40</t>
  </si>
  <si>
    <t xml:space="preserve">Entorno: Chromium 153.0.8010.12 headless (Playwright) · Linux 6.18.44-fc-v180 · 2 CPU · contenedor en la nube, sin red externa (fuentes de Google no cargan)</t>
  </si>
  <si>
    <t xml:space="preserve">Tamaño del dataset demo: 3.242 registros (2.528 con ventana completa); volumen: 50.000 registros remuestreados</t>
  </si>
  <si>
    <t xml:space="preserve">Prueba</t>
  </si>
  <si>
    <t xml:space="preserve">Registros</t>
  </si>
  <si>
    <t xml:space="preserve">Repeticiones</t>
  </si>
  <si>
    <t xml:space="preserve">Mínimo (ms)</t>
  </si>
  <si>
    <t xml:space="preserve">Promedio (ms)</t>
  </si>
  <si>
    <t xml:space="preserve">Mediana (ms)</t>
  </si>
  <si>
    <t xml:space="preserve">Máximo (ms)</t>
  </si>
  <si>
    <t xml:space="preserve">Errores</t>
  </si>
  <si>
    <t xml:space="preserve">Umbral (ms)</t>
  </si>
  <si>
    <t xml:space="preserve">Resultado frente al umbral</t>
  </si>
  <si>
    <t xml:space="preserve">Evidencia</t>
  </si>
  <si>
    <t xml:space="preserve">Carga inicial hasta ver los indicadores</t>
  </si>
  <si>
    <t xml:space="preserve">metricas/rendimiento/resultados_rendimiento.json; evidencias/capturas/PF-25_rendimiento.png</t>
  </si>
  <si>
    <t xml:space="preserve">Apertura de la pantalla «causas»</t>
  </si>
  <si>
    <t xml:space="preserve">Apertura de la pantalla «resumen»</t>
  </si>
  <si>
    <t xml:space="preserve">Apertura de la pantalla «semaforo»</t>
  </si>
  <si>
    <t xml:space="preserve">Apertura de la pantalla «seguimiento»</t>
  </si>
  <si>
    <t xml:space="preserve">Respuesta a un filtro (acción → visuales actualizados)</t>
  </si>
  <si>
    <t xml:space="preserve">Semáforo oficial, plan B (clic en «Evaluar» → resultado visible)</t>
  </si>
  <si>
    <t xml:space="preserve">Recalcular visuales tras un filtro (50.000 registros) · cálculo interno</t>
  </si>
  <si>
    <t xml:space="preserve">Generar dataset de 50.000 registros · cálculo interno</t>
  </si>
  <si>
    <t xml:space="preserve">Fecha y hora</t>
  </si>
  <si>
    <t xml:space="preserve">Entorno (equipo, navegador)</t>
  </si>
  <si>
    <t xml:space="preserve">Tamaño del dataset</t>
  </si>
  <si>
    <t xml:space="preserve">Resultado</t>
  </si>
  <si>
    <t xml:space="preserve">2026-11-10 10:00</t>
  </si>
  <si>
    <t xml:space="preserve">EJEMPLO · Portátil Windows 11, Chrome</t>
  </si>
  <si>
    <t xml:space="preserve">Respuesta a un filtro</t>
  </si>
  <si>
    <t xml:space="preserve">La fila 2 es un ejemplo de formato (valores inventados); reemplácela con la primera medición real.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</si>
</sst>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5C63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3C0"/>
      </left>
      <right style="thin">
        <color rgb="FFB9C3C0"/>
      </right>
      <top style="thin">
        <color rgb="FFB9C3C0"/>
      </top>
      <bottom style="thin">
        <color rgb="FFB9C3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5C63"/>
      <rgbColor rgb="FFB9C3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60"/>
  </cols>
  <sheetData>
    <row r="1" customFormat="false" ht="15" hidden="false" customHeight="false" outlineLevel="0" collapsed="false">
      <c r="A1" s="3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3" t="s">
        <v>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3" t="s">
        <v>10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26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</row>
    <row r="6" customFormat="false" ht="15" hidden="false" customHeight="false" outlineLevel="0" collapsed="false">
      <c r="A6" s="3" t="s">
        <v>22</v>
      </c>
      <c r="B6" s="3" t="n">
        <v>3242</v>
      </c>
      <c r="C6" s="3" t="n">
        <v>10</v>
      </c>
      <c r="D6" s="5" t="n">
        <v>448.271087000023</v>
      </c>
      <c r="E6" s="5" t="n">
        <v>473.521818700002</v>
      </c>
      <c r="F6" s="5" t="n">
        <v>465.255264500001</v>
      </c>
      <c r="G6" s="5" t="n">
        <v>504.045961000003</v>
      </c>
      <c r="H6" s="3" t="n">
        <v>0</v>
      </c>
      <c r="I6" s="3"/>
      <c r="J6" s="3" t="str">
        <f aca="false">IF(I6="","Informativo (sin umbral)",IF(AND(G6&lt;I6,H6=0),"Cumple","No cumple"))</f>
        <v>Informativo (sin umbral)</v>
      </c>
      <c r="K6" s="3" t="s">
        <v>23</v>
      </c>
    </row>
    <row r="7" customFormat="false" ht="15" hidden="false" customHeight="false" outlineLevel="0" collapsed="false">
      <c r="A7" s="3" t="s">
        <v>24</v>
      </c>
      <c r="B7" s="3" t="n">
        <v>3242</v>
      </c>
      <c r="C7" s="3" t="n">
        <v>10</v>
      </c>
      <c r="D7" s="5" t="n">
        <v>70.3498979999893</v>
      </c>
      <c r="E7" s="5" t="n">
        <v>89.6875860999984</v>
      </c>
      <c r="F7" s="5" t="n">
        <v>83.9134054999988</v>
      </c>
      <c r="G7" s="5" t="n">
        <v>116.190466999996</v>
      </c>
      <c r="H7" s="3" t="n">
        <v>0</v>
      </c>
      <c r="I7" s="3"/>
      <c r="J7" s="3" t="str">
        <f aca="false">IF(I7="","Informativo (sin umbral)",IF(AND(G7&lt;I7,H7=0),"Cumple","No cumple"))</f>
        <v>Informativo (sin umbral)</v>
      </c>
      <c r="K7" s="3" t="s">
        <v>23</v>
      </c>
    </row>
    <row r="8" customFormat="false" ht="15" hidden="false" customHeight="false" outlineLevel="0" collapsed="false">
      <c r="A8" s="3" t="s">
        <v>25</v>
      </c>
      <c r="B8" s="3" t="n">
        <v>3242</v>
      </c>
      <c r="C8" s="3" t="n">
        <v>10</v>
      </c>
      <c r="D8" s="5" t="n">
        <v>42.3232929999813</v>
      </c>
      <c r="E8" s="5" t="n">
        <v>54.758301199999</v>
      </c>
      <c r="F8" s="5" t="n">
        <v>52.3901440000003</v>
      </c>
      <c r="G8" s="5" t="n">
        <v>72.5217439999994</v>
      </c>
      <c r="H8" s="3" t="n">
        <v>0</v>
      </c>
      <c r="I8" s="3"/>
      <c r="J8" s="3" t="str">
        <f aca="false">IF(I8="","Informativo (sin umbral)",IF(AND(G8&lt;I8,H8=0),"Cumple","No cumple"))</f>
        <v>Informativo (sin umbral)</v>
      </c>
      <c r="K8" s="3" t="s">
        <v>23</v>
      </c>
    </row>
    <row r="9" customFormat="false" ht="15" hidden="false" customHeight="false" outlineLevel="0" collapsed="false">
      <c r="A9" s="3" t="s">
        <v>26</v>
      </c>
      <c r="B9" s="3" t="n">
        <v>3242</v>
      </c>
      <c r="C9" s="3" t="n">
        <v>10</v>
      </c>
      <c r="D9" s="5" t="n">
        <v>42.1790139999985</v>
      </c>
      <c r="E9" s="5" t="n">
        <v>51.5456661999991</v>
      </c>
      <c r="F9" s="5" t="n">
        <v>47.4479439999982</v>
      </c>
      <c r="G9" s="5" t="n">
        <v>65.0702910000121</v>
      </c>
      <c r="H9" s="3" t="n">
        <v>0</v>
      </c>
      <c r="I9" s="3"/>
      <c r="J9" s="3" t="str">
        <f aca="false">IF(I9="","Informativo (sin umbral)",IF(AND(G9&lt;I9,H9=0),"Cumple","No cumple"))</f>
        <v>Informativo (sin umbral)</v>
      </c>
      <c r="K9" s="3" t="s">
        <v>23</v>
      </c>
    </row>
    <row r="10" customFormat="false" ht="15" hidden="false" customHeight="false" outlineLevel="0" collapsed="false">
      <c r="A10" s="3" t="s">
        <v>27</v>
      </c>
      <c r="B10" s="3" t="n">
        <v>3242</v>
      </c>
      <c r="C10" s="3" t="n">
        <v>10</v>
      </c>
      <c r="D10" s="5" t="n">
        <v>44.5292269999982</v>
      </c>
      <c r="E10" s="5" t="n">
        <v>58.3129119000006</v>
      </c>
      <c r="F10" s="5" t="n">
        <v>58.5311709999985</v>
      </c>
      <c r="G10" s="5" t="n">
        <v>70.4681629999868</v>
      </c>
      <c r="H10" s="3" t="n">
        <v>0</v>
      </c>
      <c r="I10" s="3"/>
      <c r="J10" s="3" t="str">
        <f aca="false">IF(I10="","Informativo (sin umbral)",IF(AND(G10&lt;I10,H10=0),"Cumple","No cumple"))</f>
        <v>Informativo (sin umbral)</v>
      </c>
      <c r="K10" s="3" t="s">
        <v>23</v>
      </c>
    </row>
    <row r="11" customFormat="false" ht="15" hidden="false" customHeight="false" outlineLevel="0" collapsed="false">
      <c r="A11" s="3" t="s">
        <v>28</v>
      </c>
      <c r="B11" s="3" t="n">
        <v>3242</v>
      </c>
      <c r="C11" s="3" t="n">
        <v>20</v>
      </c>
      <c r="D11" s="5" t="n">
        <v>13.3848709999995</v>
      </c>
      <c r="E11" s="5" t="n">
        <v>19.2722540500014</v>
      </c>
      <c r="F11" s="5" t="n">
        <v>18.4335520000047</v>
      </c>
      <c r="G11" s="5" t="n">
        <v>30.3928110000129</v>
      </c>
      <c r="H11" s="3" t="n">
        <v>0</v>
      </c>
      <c r="I11" s="3" t="n">
        <v>3000</v>
      </c>
      <c r="J11" s="3" t="str">
        <f aca="false">IF(I11="","Informativo (sin umbral)",IF(AND(G11&lt;I11,H11=0),"Cumple","No cumple"))</f>
        <v>Cumple</v>
      </c>
      <c r="K11" s="3" t="s">
        <v>23</v>
      </c>
    </row>
    <row r="12" customFormat="false" ht="15" hidden="false" customHeight="false" outlineLevel="0" collapsed="false">
      <c r="A12" s="3" t="s">
        <v>29</v>
      </c>
      <c r="B12" s="3" t="n">
        <v>1</v>
      </c>
      <c r="C12" s="3" t="n">
        <v>20</v>
      </c>
      <c r="D12" s="5" t="n">
        <v>33.0712370000015</v>
      </c>
      <c r="E12" s="5" t="n">
        <v>40.9551043500031</v>
      </c>
      <c r="F12" s="5" t="n">
        <v>40.1305000000036</v>
      </c>
      <c r="G12" s="5" t="n">
        <v>49.9221150000153</v>
      </c>
      <c r="H12" s="3" t="n">
        <v>0</v>
      </c>
      <c r="I12" s="3" t="n">
        <v>2000</v>
      </c>
      <c r="J12" s="3" t="str">
        <f aca="false">IF(I12="","Informativo (sin umbral)",IF(AND(G12&lt;I12,H12=0),"Cumple","No cumple"))</f>
        <v>Cumple</v>
      </c>
      <c r="K12" s="3" t="s">
        <v>23</v>
      </c>
    </row>
    <row r="13" customFormat="false" ht="15" hidden="false" customHeight="false" outlineLevel="0" collapsed="false">
      <c r="A13" s="3" t="s">
        <v>30</v>
      </c>
      <c r="B13" s="3" t="n">
        <v>50000</v>
      </c>
      <c r="C13" s="3" t="n">
        <v>10</v>
      </c>
      <c r="D13" s="5" t="n">
        <v>5.9</v>
      </c>
      <c r="E13" s="5" t="n">
        <v>13.93</v>
      </c>
      <c r="F13" s="5" t="n">
        <v>11.6</v>
      </c>
      <c r="G13" s="5" t="n">
        <v>33.2</v>
      </c>
      <c r="H13" s="3" t="n">
        <v>0</v>
      </c>
      <c r="I13" s="3" t="n">
        <v>3000</v>
      </c>
      <c r="J13" s="3" t="str">
        <f aca="false">IF(I13="","Informativo (sin umbral)",IF(AND(G13&lt;I13,H13=0),"Cumple","No cumple"))</f>
        <v>Cumple</v>
      </c>
      <c r="K13" s="3" t="s">
        <v>23</v>
      </c>
    </row>
    <row r="14" customFormat="false" ht="15" hidden="false" customHeight="false" outlineLevel="0" collapsed="false">
      <c r="A14" s="3" t="s">
        <v>31</v>
      </c>
      <c r="B14" s="3" t="n">
        <v>50000</v>
      </c>
      <c r="C14" s="3" t="n">
        <v>1</v>
      </c>
      <c r="D14" s="5" t="n">
        <v>2.1</v>
      </c>
      <c r="E14" s="5" t="n">
        <v>2.1</v>
      </c>
      <c r="F14" s="5" t="n">
        <v>2.1</v>
      </c>
      <c r="G14" s="5" t="n">
        <v>2.1</v>
      </c>
      <c r="H14" s="3" t="n">
        <v>0</v>
      </c>
      <c r="I14" s="3"/>
      <c r="J14" s="3" t="str">
        <f aca="false">IF(I14="","Informativo (sin umbral)",IF(AND(G14&lt;I14,H14=0),"Cumple","No cumple"))</f>
        <v>Informativo (sin umbral)</v>
      </c>
      <c r="K14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9" min="4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26.85" hidden="false" customHeight="false" outlineLevel="0" collapsed="false">
      <c r="A1" s="4" t="s">
        <v>32</v>
      </c>
      <c r="B1" s="4" t="s">
        <v>33</v>
      </c>
      <c r="C1" s="4" t="s">
        <v>11</v>
      </c>
      <c r="D1" s="4" t="s">
        <v>34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35</v>
      </c>
      <c r="M1" s="4" t="s">
        <v>21</v>
      </c>
    </row>
    <row r="2" customFormat="false" ht="15" hidden="false" customHeight="false" outlineLevel="0" collapsed="false">
      <c r="A2" s="6" t="s">
        <v>36</v>
      </c>
      <c r="B2" s="6" t="s">
        <v>37</v>
      </c>
      <c r="C2" s="6" t="s">
        <v>38</v>
      </c>
      <c r="D2" s="6" t="n">
        <v>3242</v>
      </c>
      <c r="E2" s="6" t="n">
        <v>20</v>
      </c>
      <c r="F2" s="6" t="n">
        <v>12</v>
      </c>
      <c r="G2" s="6" t="n">
        <v>18</v>
      </c>
      <c r="H2" s="6" t="n">
        <v>17.5</v>
      </c>
      <c r="I2" s="6" t="n">
        <v>25</v>
      </c>
      <c r="J2" s="6" t="n">
        <v>0</v>
      </c>
      <c r="K2" s="6" t="n">
        <v>3000</v>
      </c>
      <c r="L2" s="3" t="str">
        <f aca="false">IF(I2="","",IF(K2="","Informativo",IF(AND(I2&lt;K2,J2=0),"Cumple","No cumple")))</f>
        <v>Cumple</v>
      </c>
      <c r="M2" s="3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3" t="str">
        <f aca="false">IF(I3="","",IF(K3="","Informativo",IF(AND(I3&lt;K3,J3=0),"Cumple","No cumple")))</f>
        <v/>
      </c>
      <c r="M3" s="3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3" t="str">
        <f aca="false">IF(I4="","",IF(K4="","Informativo",IF(AND(I4&lt;K4,J4=0),"Cumple","No cumple")))</f>
        <v/>
      </c>
      <c r="M4" s="3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3" t="str">
        <f aca="false">IF(I5="","",IF(K5="","Informativo",IF(AND(I5&lt;K5,J5=0),"Cumple","No cumple")))</f>
        <v/>
      </c>
      <c r="M5" s="3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3" t="str">
        <f aca="false">IF(I6="","",IF(K6="","Informativo",IF(AND(I6&lt;K6,J6=0),"Cumple","No cumple")))</f>
        <v/>
      </c>
      <c r="M6" s="3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3" t="str">
        <f aca="false">IF(I7="","",IF(K7="","Informativo",IF(AND(I7&lt;K7,J7=0),"Cumple","No cumple")))</f>
        <v/>
      </c>
      <c r="M7" s="3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3" t="str">
        <f aca="false">IF(I8="","",IF(K8="","Informativo",IF(AND(I8&lt;K8,J8=0),"Cumple","No cumple")))</f>
        <v/>
      </c>
      <c r="M8" s="3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3" t="str">
        <f aca="false">IF(I9="","",IF(K9="","Informativo",IF(AND(I9&lt;K9,J9=0),"Cumple","No cumple")))</f>
        <v/>
      </c>
      <c r="M9" s="3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3" t="str">
        <f aca="false">IF(I10="","",IF(K10="","Informativo",IF(AND(I10&lt;K10,J10=0),"Cumple","No cumple")))</f>
        <v/>
      </c>
      <c r="M10" s="3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3" t="str">
        <f aca="false">IF(I11="","",IF(K11="","Informativo",IF(AND(I11&lt;K11,J11=0),"Cumple","No cumple")))</f>
        <v/>
      </c>
      <c r="M11" s="3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3" t="str">
        <f aca="false">IF(I12="","",IF(K12="","Informativo",IF(AND(I12&lt;K12,J12=0),"Cumple","No cumple")))</f>
        <v/>
      </c>
      <c r="M12" s="3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3" t="str">
        <f aca="false">IF(I13="","",IF(K13="","Informativo",IF(AND(I13&lt;K13,J13=0),"Cumple","No cumple")))</f>
        <v/>
      </c>
      <c r="M13" s="3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3" t="str">
        <f aca="false">IF(I14="","",IF(K14="","Informativo",IF(AND(I14&lt;K14,J14=0),"Cumple","No cumple")))</f>
        <v/>
      </c>
      <c r="M14" s="3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3" t="str">
        <f aca="false">IF(I15="","",IF(K15="","Informativo",IF(AND(I15&lt;K15,J15=0),"Cumple","No cumple")))</f>
        <v/>
      </c>
      <c r="M15" s="3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3" t="str">
        <f aca="false">IF(I16="","",IF(K16="","Informativo",IF(AND(I16&lt;K16,J16=0),"Cumple","No cumple")))</f>
        <v/>
      </c>
      <c r="M16" s="3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3" t="str">
        <f aca="false">IF(I17="","",IF(K17="","Informativo",IF(AND(I17&lt;K17,J17=0),"Cumple","No cumple")))</f>
        <v/>
      </c>
      <c r="M17" s="3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3" t="str">
        <f aca="false">IF(I18="","",IF(K18="","Informativo",IF(AND(I18&lt;K18,J18=0),"Cumple","No cumple")))</f>
        <v/>
      </c>
      <c r="M18" s="3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3" t="str">
        <f aca="false">IF(I19="","",IF(K19="","Informativo",IF(AND(I19&lt;K19,J19=0),"Cumple","No cumple")))</f>
        <v/>
      </c>
      <c r="M19" s="3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3" t="str">
        <f aca="false">IF(I20="","",IF(K20="","Informativo",IF(AND(I20&lt;K20,J20=0),"Cumple","No cumple")))</f>
        <v/>
      </c>
      <c r="M20" s="3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3" t="str">
        <f aca="false">IF(I21="","",IF(K21="","Informativo",IF(AND(I21&lt;K21,J21=0),"Cumple","No cumple")))</f>
        <v/>
      </c>
      <c r="M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5" hidden="false" customHeight="false" outlineLevel="0" collapsed="false">
      <c r="A23" s="3" t="s">
        <v>39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2026-10-28T01:13:23Z</dcterms:created>
  <dc:creator>openpyxl</dc:creator>
  <dc:description/>
  <dc:language>en-US</dc:language>
  <cp:lastModifiedBy/>
  <dcterms:modified xsi:type="dcterms:W3CDTF">2026-10-28T01:13:23Z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