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Registro" sheetId="2" state="visible" r:id="rId4"/>
    <sheet name="Resultados" sheetId="3" state="visible" r:id="rId5"/>
    <sheet name="Ejemplo registro" sheetId="4" state="visible" r:id="rId6"/>
    <sheet name="Ejemplo demostrativ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<sst xmlns="http://schemas.openxmlformats.org/spreadsheetml/2006/main" count="129" uniqueCount="70">
  <si>
    <t xml:space="preserve">Radar de permanencia · Métricas DORA</t>
  </si>
  <si>
    <t xml:space="preserve">Registre en la hoja «Registro» cada cambio que llegue a un DESPLIEGUE: publicación de una versión utilizable por el cliente en su entorno de uso.</t>
  </si>
  <si>
    <t xml:space="preserve">No cuentan como despliegue: un commit, un merge, una entrega académica ni una demo local.</t>
  </si>
  <si>
    <t xml:space="preserve">Inicio del cambio = fecha y hora del primer commit del cambio. Despliegue = fecha y hora en que la versión queda disponible.</t>
  </si>
  <si>
    <t xml:space="preserve">Fallo = el despliegue requirió corrección, reversión o intervención urgente. Recuperación = momento en que se verificó que el servicio volvió a funcionar.</t>
  </si>
  <si>
    <t xml:space="preserve">Celdas AMARILLAS / texto azul = ingresar. Texto negro = fórmula. La hoja «Resultados» se recalcula sola.</t>
  </si>
  <si>
    <t xml:space="preserve">Estado al 27-oct-2026: sin entorno productivo ni despliegues registrados → «Sin despliegues medidos».</t>
  </si>
  <si>
    <t xml:space="preserve">La hoja «Ejemplo demostrativo» usa datos inventados solo para mostrar las fórmulas; no son resultados del proyecto.</t>
  </si>
  <si>
    <t xml:space="preserve">ID</t>
  </si>
  <si>
    <t xml:space="preserve">Cambio / ítem Jira</t>
  </si>
  <si>
    <t xml:space="preserve">Inicio del cambio (primer commit)</t>
  </si>
  <si>
    <t xml:space="preserve">Despliegue</t>
  </si>
  <si>
    <t xml:space="preserve">Exitoso (Sí/No)</t>
  </si>
  <si>
    <t xml:space="preserve">Provocó fallo (Sí/No)</t>
  </si>
  <si>
    <t xml:space="preserve">Inicio del incidente</t>
  </si>
  <si>
    <t xml:space="preserve">Recuperación verificada</t>
  </si>
  <si>
    <t xml:space="preserve">Tiempo de entrega (h)</t>
  </si>
  <si>
    <t xml:space="preserve">Tiempo de recuperación (h)</t>
  </si>
  <si>
    <t xml:space="preserve">Inicio del período</t>
  </si>
  <si>
    <t xml:space="preserve">Fin del período</t>
  </si>
  <si>
    <t xml:space="preserve">Semanas observadas</t>
  </si>
  <si>
    <t xml:space="preserve">Despliegues registrados</t>
  </si>
  <si>
    <t xml:space="preserve">Despliegues exitosos</t>
  </si>
  <si>
    <t xml:space="preserve">Despliegues con fallo</t>
  </si>
  <si>
    <t xml:space="preserve">Métrica</t>
  </si>
  <si>
    <t xml:space="preserve">Definición</t>
  </si>
  <si>
    <t xml:space="preserve">Fórmula</t>
  </si>
  <si>
    <t xml:space="preserve">Período observado</t>
  </si>
  <si>
    <t xml:space="preserve">Valor</t>
  </si>
  <si>
    <t xml:space="preserve">Unidad</t>
  </si>
  <si>
    <t xml:space="preserve">Fuente de evidencia</t>
  </si>
  <si>
    <t xml:space="preserve">Estado de medición</t>
  </si>
  <si>
    <t xml:space="preserve">Interpretación</t>
  </si>
  <si>
    <t xml:space="preserve">Acción de mejora</t>
  </si>
  <si>
    <t xml:space="preserve">Frecuencia de despliegue</t>
  </si>
  <si>
    <t xml:space="preserve">Despliegues exitosos por período</t>
  </si>
  <si>
    <t xml:space="preserve">Despliegues exitosos ÷ semanas observadas</t>
  </si>
  <si>
    <t xml:space="preserve">despliegues/semana</t>
  </si>
  <si>
    <t xml:space="preserve">Tags/releases de GitHub y registro de publicaciones</t>
  </si>
  <si>
    <t xml:space="preserve">Mayor frecuencia = entregas más pequeñas y menos riesgo</t>
  </si>
  <si>
    <t xml:space="preserve">Definir qué cuenta como despliegue y registrar cada publicación</t>
  </si>
  <si>
    <t xml:space="preserve">Tiempo de entrega de cambios</t>
  </si>
  <si>
    <t xml:space="preserve">Desde el primer commit hasta el despliegue</t>
  </si>
  <si>
    <t xml:space="preserve">Promedio(despliegue − primer commit)</t>
  </si>
  <si>
    <t xml:space="preserve">horas</t>
  </si>
  <si>
    <t xml:space="preserve">Historial de Git + registro de despliegues</t>
  </si>
  <si>
    <t xml:space="preserve">Menor = el valor llega antes al cliente</t>
  </si>
  <si>
    <t xml:space="preserve">Vincular cada ítem de Jira con su rama o pull request</t>
  </si>
  <si>
    <t xml:space="preserve">Tasa de fallos de cambios</t>
  </si>
  <si>
    <t xml:space="preserve">% de despliegues que requieren corrección, reversión o intervención urgente</t>
  </si>
  <si>
    <t xml:space="preserve">Despliegues con fallo ÷ total de despliegues × 100</t>
  </si>
  <si>
    <t xml:space="preserve">%</t>
  </si>
  <si>
    <t xml:space="preserve">Registro de incidentes vinculado al despliegue</t>
  </si>
  <si>
    <t xml:space="preserve">Menor = cambios más confiables</t>
  </si>
  <si>
    <t xml:space="preserve">Registrar toda corrección urgente posterior a una publicación</t>
  </si>
  <si>
    <t xml:space="preserve">Tiempo de recuperación ante fallos</t>
  </si>
  <si>
    <t xml:space="preserve">Desde el inicio del incidente hasta la recuperación verificada</t>
  </si>
  <si>
    <t xml:space="preserve">Promedio(recuperación − inicio del incidente)</t>
  </si>
  <si>
    <t xml:space="preserve">Registro de incidentes con hora de detección y verificación</t>
  </si>
  <si>
    <t xml:space="preserve">Menor = el equipo restablece el servicio más rápido</t>
  </si>
  <si>
    <t xml:space="preserve">Anotar hora de detección y de verificación de cada incidente</t>
  </si>
  <si>
    <t xml:space="preserve">E1</t>
  </si>
  <si>
    <t xml:space="preserve">Ejemplo: filtros del panorama</t>
  </si>
  <si>
    <t xml:space="preserve">Sí</t>
  </si>
  <si>
    <t xml:space="preserve">No</t>
  </si>
  <si>
    <t xml:space="preserve">E2</t>
  </si>
  <si>
    <t xml:space="preserve">Ejemplo: gráfico por supervisor</t>
  </si>
  <si>
    <t xml:space="preserve">E3</t>
  </si>
  <si>
    <t xml:space="preserve">Ejemplo: semáforo</t>
  </si>
  <si>
    <t xml:space="preserve">EJEMPLO DEMOSTRATIVO: valores calculados con datos inventados. No son resultados del proyecto.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</si>
</sst>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.0"/>
    <numFmt numFmtId="167" formatCode="yyyy\-mm\-dd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B42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5C63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3C0"/>
      </left>
      <right style="thin">
        <color rgb="FFB9C3C0"/>
      </right>
      <top style="thin">
        <color rgb="FFB9C3C0"/>
      </top>
      <bottom style="thin">
        <color rgb="FFB9C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C63"/>
      <rgbColor rgb="FFB9C3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2E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8" min="7" style="0" width="18"/>
    <col collapsed="false" customWidth="true" hidden="false" outlineLevel="0" max="10" min="9" style="0" width="14"/>
  </cols>
  <sheetData>
    <row r="1" customFormat="false" ht="39.5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customFormat="false" ht="15" hidden="false" customHeight="false" outlineLevel="0" collapsed="false">
      <c r="A2" s="4"/>
      <c r="B2" s="4"/>
      <c r="C2" s="5"/>
      <c r="D2" s="5"/>
      <c r="E2" s="4"/>
      <c r="F2" s="4"/>
      <c r="G2" s="5"/>
      <c r="H2" s="5"/>
      <c r="I2" s="6" t="str">
        <f aca="false">IF(AND(ISNUMBER(C2),ISNUMBER(D2),E2="Sí"),(D2-C2)*24,"")</f>
        <v/>
      </c>
      <c r="J2" s="6" t="str">
        <f aca="false">IF(AND(F2="Sí",ISNUMBER(G2),ISNUMBER(H2)),(H2-G2)*24,"")</f>
        <v/>
      </c>
    </row>
    <row r="3" customFormat="false" ht="15" hidden="false" customHeight="false" outlineLevel="0" collapsed="false">
      <c r="A3" s="4"/>
      <c r="B3" s="4"/>
      <c r="C3" s="5"/>
      <c r="D3" s="5"/>
      <c r="E3" s="4"/>
      <c r="F3" s="4"/>
      <c r="G3" s="5"/>
      <c r="H3" s="5"/>
      <c r="I3" s="6" t="str">
        <f aca="false">IF(AND(ISNUMBER(C3),ISNUMBER(D3),E3="Sí"),(D3-C3)*24,"")</f>
        <v/>
      </c>
      <c r="J3" s="6" t="str">
        <f aca="false">IF(AND(F3="Sí",ISNUMBER(G3),ISNUMBER(H3)),(H3-G3)*24,"")</f>
        <v/>
      </c>
    </row>
    <row r="4" customFormat="false" ht="15" hidden="false" customHeight="false" outlineLevel="0" collapsed="false">
      <c r="A4" s="4"/>
      <c r="B4" s="4"/>
      <c r="C4" s="5"/>
      <c r="D4" s="5"/>
      <c r="E4" s="4"/>
      <c r="F4" s="4"/>
      <c r="G4" s="5"/>
      <c r="H4" s="5"/>
      <c r="I4" s="6" t="str">
        <f aca="false">IF(AND(ISNUMBER(C4),ISNUMBER(D4),E4="Sí"),(D4-C4)*24,"")</f>
        <v/>
      </c>
      <c r="J4" s="6" t="str">
        <f aca="false">IF(AND(F4="Sí",ISNUMBER(G4),ISNUMBER(H4)),(H4-G4)*24,"")</f>
        <v/>
      </c>
    </row>
    <row r="5" customFormat="false" ht="15" hidden="false" customHeight="false" outlineLevel="0" collapsed="false">
      <c r="A5" s="4"/>
      <c r="B5" s="4"/>
      <c r="C5" s="5"/>
      <c r="D5" s="5"/>
      <c r="E5" s="4"/>
      <c r="F5" s="4"/>
      <c r="G5" s="5"/>
      <c r="H5" s="5"/>
      <c r="I5" s="6" t="str">
        <f aca="false">IF(AND(ISNUMBER(C5),ISNUMBER(D5),E5="Sí"),(D5-C5)*24,"")</f>
        <v/>
      </c>
      <c r="J5" s="6" t="str">
        <f aca="false">IF(AND(F5="Sí",ISNUMBER(G5),ISNUMBER(H5)),(H5-G5)*24,"")</f>
        <v/>
      </c>
    </row>
    <row r="6" customFormat="false" ht="15" hidden="false" customHeight="false" outlineLevel="0" collapsed="false">
      <c r="A6" s="4"/>
      <c r="B6" s="4"/>
      <c r="C6" s="5"/>
      <c r="D6" s="5"/>
      <c r="E6" s="4"/>
      <c r="F6" s="4"/>
      <c r="G6" s="5"/>
      <c r="H6" s="5"/>
      <c r="I6" s="6" t="str">
        <f aca="false">IF(AND(ISNUMBER(C6),ISNUMBER(D6),E6="Sí"),(D6-C6)*24,"")</f>
        <v/>
      </c>
      <c r="J6" s="6" t="str">
        <f aca="false">IF(AND(F6="Sí",ISNUMBER(G6),ISNUMBER(H6)),(H6-G6)*24,"")</f>
        <v/>
      </c>
    </row>
    <row r="7" customFormat="false" ht="15" hidden="false" customHeight="false" outlineLevel="0" collapsed="false">
      <c r="A7" s="4"/>
      <c r="B7" s="4"/>
      <c r="C7" s="5"/>
      <c r="D7" s="5"/>
      <c r="E7" s="4"/>
      <c r="F7" s="4"/>
      <c r="G7" s="5"/>
      <c r="H7" s="5"/>
      <c r="I7" s="6" t="str">
        <f aca="false">IF(AND(ISNUMBER(C7),ISNUMBER(D7),E7="Sí"),(D7-C7)*24,"")</f>
        <v/>
      </c>
      <c r="J7" s="6" t="str">
        <f aca="false">IF(AND(F7="Sí",ISNUMBER(G7),ISNUMBER(H7)),(H7-G7)*24,"")</f>
        <v/>
      </c>
    </row>
    <row r="8" customFormat="false" ht="15" hidden="false" customHeight="false" outlineLevel="0" collapsed="false">
      <c r="A8" s="4"/>
      <c r="B8" s="4"/>
      <c r="C8" s="5"/>
      <c r="D8" s="5"/>
      <c r="E8" s="4"/>
      <c r="F8" s="4"/>
      <c r="G8" s="5"/>
      <c r="H8" s="5"/>
      <c r="I8" s="6" t="str">
        <f aca="false">IF(AND(ISNUMBER(C8),ISNUMBER(D8),E8="Sí"),(D8-C8)*24,"")</f>
        <v/>
      </c>
      <c r="J8" s="6" t="str">
        <f aca="false">IF(AND(F8="Sí",ISNUMBER(G8),ISNUMBER(H8)),(H8-G8)*24,"")</f>
        <v/>
      </c>
    </row>
    <row r="9" customFormat="false" ht="15" hidden="false" customHeight="false" outlineLevel="0" collapsed="false">
      <c r="A9" s="4"/>
      <c r="B9" s="4"/>
      <c r="C9" s="5"/>
      <c r="D9" s="5"/>
      <c r="E9" s="4"/>
      <c r="F9" s="4"/>
      <c r="G9" s="5"/>
      <c r="H9" s="5"/>
      <c r="I9" s="6" t="str">
        <f aca="false">IF(AND(ISNUMBER(C9),ISNUMBER(D9),E9="Sí"),(D9-C9)*24,"")</f>
        <v/>
      </c>
      <c r="J9" s="6" t="str">
        <f aca="false">IF(AND(F9="Sí",ISNUMBER(G9),ISNUMBER(H9)),(H9-G9)*24,"")</f>
        <v/>
      </c>
    </row>
    <row r="10" customFormat="false" ht="15" hidden="false" customHeight="false" outlineLevel="0" collapsed="false">
      <c r="A10" s="4"/>
      <c r="B10" s="4"/>
      <c r="C10" s="5"/>
      <c r="D10" s="5"/>
      <c r="E10" s="4"/>
      <c r="F10" s="4"/>
      <c r="G10" s="5"/>
      <c r="H10" s="5"/>
      <c r="I10" s="6" t="str">
        <f aca="false">IF(AND(ISNUMBER(C10),ISNUMBER(D10),E10="Sí"),(D10-C10)*24,"")</f>
        <v/>
      </c>
      <c r="J10" s="6" t="str">
        <f aca="false">IF(AND(F10="Sí",ISNUMBER(G10),ISNUMBER(H10)),(H10-G10)*24,"")</f>
        <v/>
      </c>
    </row>
    <row r="11" customFormat="false" ht="15" hidden="false" customHeight="false" outlineLevel="0" collapsed="false">
      <c r="A11" s="4"/>
      <c r="B11" s="4"/>
      <c r="C11" s="5"/>
      <c r="D11" s="5"/>
      <c r="E11" s="4"/>
      <c r="F11" s="4"/>
      <c r="G11" s="5"/>
      <c r="H11" s="5"/>
      <c r="I11" s="6" t="str">
        <f aca="false">IF(AND(ISNUMBER(C11),ISNUMBER(D11),E11="Sí"),(D11-C11)*24,"")</f>
        <v/>
      </c>
      <c r="J11" s="6" t="str">
        <f aca="false">IF(AND(F11="Sí",ISNUMBER(G11),ISNUMBER(H11)),(H11-G11)*24,"")</f>
        <v/>
      </c>
    </row>
    <row r="12" customFormat="false" ht="15" hidden="false" customHeight="false" outlineLevel="0" collapsed="false">
      <c r="A12" s="4"/>
      <c r="B12" s="4"/>
      <c r="C12" s="5"/>
      <c r="D12" s="5"/>
      <c r="E12" s="4"/>
      <c r="F12" s="4"/>
      <c r="G12" s="5"/>
      <c r="H12" s="5"/>
      <c r="I12" s="6" t="str">
        <f aca="false">IF(AND(ISNUMBER(C12),ISNUMBER(D12),E12="Sí"),(D12-C12)*24,"")</f>
        <v/>
      </c>
      <c r="J12" s="6" t="str">
        <f aca="false">IF(AND(F12="Sí",ISNUMBER(G12),ISNUMBER(H12)),(H12-G12)*24,"")</f>
        <v/>
      </c>
    </row>
    <row r="13" customFormat="false" ht="15" hidden="false" customHeight="false" outlineLevel="0" collapsed="false">
      <c r="A13" s="4"/>
      <c r="B13" s="4"/>
      <c r="C13" s="5"/>
      <c r="D13" s="5"/>
      <c r="E13" s="4"/>
      <c r="F13" s="4"/>
      <c r="G13" s="5"/>
      <c r="H13" s="5"/>
      <c r="I13" s="6" t="str">
        <f aca="false">IF(AND(ISNUMBER(C13),ISNUMBER(D13),E13="Sí"),(D13-C13)*24,"")</f>
        <v/>
      </c>
      <c r="J13" s="6" t="str">
        <f aca="false">IF(AND(F13="Sí",ISNUMBER(G13),ISNUMBER(H13)),(H13-G13)*24,"")</f>
        <v/>
      </c>
    </row>
    <row r="14" customFormat="false" ht="15" hidden="false" customHeight="false" outlineLevel="0" collapsed="false">
      <c r="A14" s="4"/>
      <c r="B14" s="4"/>
      <c r="C14" s="5"/>
      <c r="D14" s="5"/>
      <c r="E14" s="4"/>
      <c r="F14" s="4"/>
      <c r="G14" s="5"/>
      <c r="H14" s="5"/>
      <c r="I14" s="6" t="str">
        <f aca="false">IF(AND(ISNUMBER(C14),ISNUMBER(D14),E14="Sí"),(D14-C14)*24,"")</f>
        <v/>
      </c>
      <c r="J14" s="6" t="str">
        <f aca="false">IF(AND(F14="Sí",ISNUMBER(G14),ISNUMBER(H14)),(H14-G14)*24,"")</f>
        <v/>
      </c>
    </row>
    <row r="15" customFormat="false" ht="15" hidden="false" customHeight="false" outlineLevel="0" collapsed="false">
      <c r="A15" s="4"/>
      <c r="B15" s="4"/>
      <c r="C15" s="5"/>
      <c r="D15" s="5"/>
      <c r="E15" s="4"/>
      <c r="F15" s="4"/>
      <c r="G15" s="5"/>
      <c r="H15" s="5"/>
      <c r="I15" s="6" t="str">
        <f aca="false">IF(AND(ISNUMBER(C15),ISNUMBER(D15),E15="Sí"),(D15-C15)*24,"")</f>
        <v/>
      </c>
      <c r="J15" s="6" t="str">
        <f aca="false">IF(AND(F15="Sí",ISNUMBER(G15),ISNUMBER(H15)),(H15-G15)*24,"")</f>
        <v/>
      </c>
    </row>
    <row r="16" customFormat="false" ht="15" hidden="false" customHeight="false" outlineLevel="0" collapsed="false">
      <c r="A16" s="4"/>
      <c r="B16" s="4"/>
      <c r="C16" s="5"/>
      <c r="D16" s="5"/>
      <c r="E16" s="4"/>
      <c r="F16" s="4"/>
      <c r="G16" s="5"/>
      <c r="H16" s="5"/>
      <c r="I16" s="6" t="str">
        <f aca="false">IF(AND(ISNUMBER(C16),ISNUMBER(D16),E16="Sí"),(D16-C16)*24,"")</f>
        <v/>
      </c>
      <c r="J16" s="6" t="str">
        <f aca="false">IF(AND(F16="Sí",ISNUMBER(G16),ISNUMBER(H16)),(H16-G16)*24,"")</f>
        <v/>
      </c>
    </row>
    <row r="17" customFormat="false" ht="15" hidden="false" customHeight="false" outlineLevel="0" collapsed="false">
      <c r="A17" s="4"/>
      <c r="B17" s="4"/>
      <c r="C17" s="5"/>
      <c r="D17" s="5"/>
      <c r="E17" s="4"/>
      <c r="F17" s="4"/>
      <c r="G17" s="5"/>
      <c r="H17" s="5"/>
      <c r="I17" s="6" t="str">
        <f aca="false">IF(AND(ISNUMBER(C17),ISNUMBER(D17),E17="Sí"),(D17-C17)*24,"")</f>
        <v/>
      </c>
      <c r="J17" s="6" t="str">
        <f aca="false">IF(AND(F17="Sí",ISNUMBER(G17),ISNUMBER(H17)),(H17-G17)*24,"")</f>
        <v/>
      </c>
    </row>
    <row r="18" customFormat="false" ht="15" hidden="false" customHeight="false" outlineLevel="0" collapsed="false">
      <c r="A18" s="4"/>
      <c r="B18" s="4"/>
      <c r="C18" s="5"/>
      <c r="D18" s="5"/>
      <c r="E18" s="4"/>
      <c r="F18" s="4"/>
      <c r="G18" s="5"/>
      <c r="H18" s="5"/>
      <c r="I18" s="6" t="str">
        <f aca="false">IF(AND(ISNUMBER(C18),ISNUMBER(D18),E18="Sí"),(D18-C18)*24,"")</f>
        <v/>
      </c>
      <c r="J18" s="6" t="str">
        <f aca="false">IF(AND(F18="Sí",ISNUMBER(G18),ISNUMBER(H18)),(H18-G18)*24,"")</f>
        <v/>
      </c>
    </row>
    <row r="19" customFormat="false" ht="15" hidden="false" customHeight="false" outlineLevel="0" collapsed="false">
      <c r="A19" s="4"/>
      <c r="B19" s="4"/>
      <c r="C19" s="5"/>
      <c r="D19" s="5"/>
      <c r="E19" s="4"/>
      <c r="F19" s="4"/>
      <c r="G19" s="5"/>
      <c r="H19" s="5"/>
      <c r="I19" s="6" t="str">
        <f aca="false">IF(AND(ISNUMBER(C19),ISNUMBER(D19),E19="Sí"),(D19-C19)*24,"")</f>
        <v/>
      </c>
      <c r="J19" s="6" t="str">
        <f aca="false">IF(AND(F19="Sí",ISNUMBER(G19),ISNUMBER(H19)),(H19-G19)*24,"")</f>
        <v/>
      </c>
    </row>
    <row r="20" customFormat="false" ht="15" hidden="false" customHeight="false" outlineLevel="0" collapsed="false">
      <c r="A20" s="4"/>
      <c r="B20" s="4"/>
      <c r="C20" s="5"/>
      <c r="D20" s="5"/>
      <c r="E20" s="4"/>
      <c r="F20" s="4"/>
      <c r="G20" s="5"/>
      <c r="H20" s="5"/>
      <c r="I20" s="6" t="str">
        <f aca="false">IF(AND(ISNUMBER(C20),ISNUMBER(D20),E20="Sí"),(D20-C20)*24,"")</f>
        <v/>
      </c>
      <c r="J20" s="6" t="str">
        <f aca="false">IF(AND(F20="Sí",ISNUMBER(G20),ISNUMBER(H20)),(H20-G20)*24,"")</f>
        <v/>
      </c>
    </row>
    <row r="21" customFormat="false" ht="15" hidden="false" customHeight="false" outlineLevel="0" collapsed="false">
      <c r="A21" s="4"/>
      <c r="B21" s="4"/>
      <c r="C21" s="5"/>
      <c r="D21" s="5"/>
      <c r="E21" s="4"/>
      <c r="F21" s="4"/>
      <c r="G21" s="5"/>
      <c r="H21" s="5"/>
      <c r="I21" s="6" t="str">
        <f aca="false">IF(AND(ISNUMBER(C21),ISNUMBER(D21),E21="Sí"),(D21-C21)*24,"")</f>
        <v/>
      </c>
      <c r="J21" s="6" t="str">
        <f aca="false">IF(AND(F21="Sí",ISNUMBER(G21),ISNUMBER(H21)),(H21-G21)*24,"")</f>
        <v/>
      </c>
    </row>
    <row r="22" customFormat="false" ht="15" hidden="false" customHeight="false" outlineLevel="0" collapsed="false">
      <c r="A22" s="4"/>
      <c r="B22" s="4"/>
      <c r="C22" s="5"/>
      <c r="D22" s="5"/>
      <c r="E22" s="4"/>
      <c r="F22" s="4"/>
      <c r="G22" s="5"/>
      <c r="H22" s="5"/>
      <c r="I22" s="6" t="str">
        <f aca="false">IF(AND(ISNUMBER(C22),ISNUMBER(D22),E22="Sí"),(D22-C22)*24,"")</f>
        <v/>
      </c>
      <c r="J22" s="6" t="str">
        <f aca="false">IF(AND(F22="Sí",ISNUMBER(G22),ISNUMBER(H22)),(H22-G22)*24,"")</f>
        <v/>
      </c>
    </row>
    <row r="23" customFormat="false" ht="15" hidden="false" customHeight="false" outlineLevel="0" collapsed="false">
      <c r="A23" s="4"/>
      <c r="B23" s="4"/>
      <c r="C23" s="5"/>
      <c r="D23" s="5"/>
      <c r="E23" s="4"/>
      <c r="F23" s="4"/>
      <c r="G23" s="5"/>
      <c r="H23" s="5"/>
      <c r="I23" s="6" t="str">
        <f aca="false">IF(AND(ISNUMBER(C23),ISNUMBER(D23),E23="Sí"),(D23-C23)*24,"")</f>
        <v/>
      </c>
      <c r="J23" s="6" t="str">
        <f aca="false">IF(AND(F23="Sí",ISNUMBER(G23),ISNUMBER(H23)),(H23-G23)*24,"")</f>
        <v/>
      </c>
    </row>
    <row r="24" customFormat="false" ht="15" hidden="false" customHeight="false" outlineLevel="0" collapsed="false">
      <c r="A24" s="4"/>
      <c r="B24" s="4"/>
      <c r="C24" s="5"/>
      <c r="D24" s="5"/>
      <c r="E24" s="4"/>
      <c r="F24" s="4"/>
      <c r="G24" s="5"/>
      <c r="H24" s="5"/>
      <c r="I24" s="6" t="str">
        <f aca="false">IF(AND(ISNUMBER(C24),ISNUMBER(D24),E24="Sí"),(D24-C24)*24,"")</f>
        <v/>
      </c>
      <c r="J24" s="6" t="str">
        <f aca="false">IF(AND(F24="Sí",ISNUMBER(G24),ISNUMBER(H24)),(H24-G24)*24,"")</f>
        <v/>
      </c>
    </row>
    <row r="25" customFormat="false" ht="15" hidden="false" customHeight="false" outlineLevel="0" collapsed="false">
      <c r="A25" s="4"/>
      <c r="B25" s="4"/>
      <c r="C25" s="5"/>
      <c r="D25" s="5"/>
      <c r="E25" s="4"/>
      <c r="F25" s="4"/>
      <c r="G25" s="5"/>
      <c r="H25" s="5"/>
      <c r="I25" s="6" t="str">
        <f aca="false">IF(AND(ISNUMBER(C25),ISNUMBER(D25),E25="Sí"),(D25-C25)*24,"")</f>
        <v/>
      </c>
      <c r="J25" s="6" t="str">
        <f aca="false">IF(AND(F25="Sí",ISNUMBER(G25),ISNUMBER(H25)),(H25-G25)*24,"")</f>
        <v/>
      </c>
    </row>
    <row r="26" customFormat="false" ht="15" hidden="false" customHeight="false" outlineLevel="0" collapsed="false">
      <c r="A26" s="4"/>
      <c r="B26" s="4"/>
      <c r="C26" s="5"/>
      <c r="D26" s="5"/>
      <c r="E26" s="4"/>
      <c r="F26" s="4"/>
      <c r="G26" s="5"/>
      <c r="H26" s="5"/>
      <c r="I26" s="6" t="str">
        <f aca="false">IF(AND(ISNUMBER(C26),ISNUMBER(D26),E26="Sí"),(D26-C26)*24,"")</f>
        <v/>
      </c>
      <c r="J26" s="6" t="str">
        <f aca="false">IF(AND(F26="Sí",ISNUMBER(G26),ISNUMBER(H26)),(H26-G26)*24,"")</f>
        <v/>
      </c>
    </row>
    <row r="27" customFormat="false" ht="15" hidden="false" customHeight="false" outlineLevel="0" collapsed="false">
      <c r="A27" s="4"/>
      <c r="B27" s="4"/>
      <c r="C27" s="5"/>
      <c r="D27" s="5"/>
      <c r="E27" s="4"/>
      <c r="F27" s="4"/>
      <c r="G27" s="5"/>
      <c r="H27" s="5"/>
      <c r="I27" s="6" t="str">
        <f aca="false">IF(AND(ISNUMBER(C27),ISNUMBER(D27),E27="Sí"),(D27-C27)*24,"")</f>
        <v/>
      </c>
      <c r="J27" s="6" t="str">
        <f aca="false">IF(AND(F27="Sí",ISNUMBER(G27),ISNUMBER(H27)),(H27-G27)*24,"")</f>
        <v/>
      </c>
    </row>
    <row r="28" customFormat="false" ht="15" hidden="false" customHeight="false" outlineLevel="0" collapsed="false">
      <c r="A28" s="4"/>
      <c r="B28" s="4"/>
      <c r="C28" s="5"/>
      <c r="D28" s="5"/>
      <c r="E28" s="4"/>
      <c r="F28" s="4"/>
      <c r="G28" s="5"/>
      <c r="H28" s="5"/>
      <c r="I28" s="6" t="str">
        <f aca="false">IF(AND(ISNUMBER(C28),ISNUMBER(D28),E28="Sí"),(D28-C28)*24,"")</f>
        <v/>
      </c>
      <c r="J28" s="6" t="str">
        <f aca="false">IF(AND(F28="Sí",ISNUMBER(G28),ISNUMBER(H28)),(H28-G28)*24,"")</f>
        <v/>
      </c>
    </row>
    <row r="29" customFormat="false" ht="15" hidden="false" customHeight="false" outlineLevel="0" collapsed="false">
      <c r="A29" s="4"/>
      <c r="B29" s="4"/>
      <c r="C29" s="5"/>
      <c r="D29" s="5"/>
      <c r="E29" s="4"/>
      <c r="F29" s="4"/>
      <c r="G29" s="5"/>
      <c r="H29" s="5"/>
      <c r="I29" s="6" t="str">
        <f aca="false">IF(AND(ISNUMBER(C29),ISNUMBER(D29),E29="Sí"),(D29-C29)*24,"")</f>
        <v/>
      </c>
      <c r="J29" s="6" t="str">
        <f aca="false">IF(AND(F29="Sí",ISNUMBER(G29),ISNUMBER(H29)),(H29-G29)*24,"")</f>
        <v/>
      </c>
    </row>
    <row r="30" customFormat="false" ht="15" hidden="false" customHeight="false" outlineLevel="0" collapsed="false">
      <c r="A30" s="4"/>
      <c r="B30" s="4"/>
      <c r="C30" s="5"/>
      <c r="D30" s="5"/>
      <c r="E30" s="4"/>
      <c r="F30" s="4"/>
      <c r="G30" s="5"/>
      <c r="H30" s="5"/>
      <c r="I30" s="6" t="str">
        <f aca="false">IF(AND(ISNUMBER(C30),ISNUMBER(D30),E30="Sí"),(D30-C30)*24,"")</f>
        <v/>
      </c>
      <c r="J30" s="6" t="str">
        <f aca="false">IF(AND(F30="Sí",ISNUMBER(G30),ISNUMBER(H30)),(H30-G30)*24,"")</f>
        <v/>
      </c>
    </row>
    <row r="31" customFormat="false" ht="15" hidden="false" customHeight="false" outlineLevel="0" collapsed="false">
      <c r="A31" s="4"/>
      <c r="B31" s="4"/>
      <c r="C31" s="5"/>
      <c r="D31" s="5"/>
      <c r="E31" s="4"/>
      <c r="F31" s="4"/>
      <c r="G31" s="5"/>
      <c r="H31" s="5"/>
      <c r="I31" s="6" t="str">
        <f aca="false">IF(AND(ISNUMBER(C31),ISNUMBER(D31),E31="Sí"),(D31-C31)*24,"")</f>
        <v/>
      </c>
      <c r="J31" s="6" t="str">
        <f aca="false">IF(AND(F31="Sí",ISNUMBER(G31),ISNUMBER(H31)),(H31-G31)*24,"")</f>
        <v/>
      </c>
    </row>
    <row r="32" customFormat="false" ht="15" hidden="false" customHeight="false" outlineLevel="0" collapsed="false">
      <c r="A32" s="4"/>
      <c r="B32" s="4"/>
      <c r="C32" s="5"/>
      <c r="D32" s="5"/>
      <c r="E32" s="4"/>
      <c r="F32" s="4"/>
      <c r="G32" s="5"/>
      <c r="H32" s="5"/>
      <c r="I32" s="6" t="str">
        <f aca="false">IF(AND(ISNUMBER(C32),ISNUMBER(D32),E32="Sí"),(D32-C32)*24,"")</f>
        <v/>
      </c>
      <c r="J32" s="6" t="str">
        <f aca="false">IF(AND(F32="Sí",ISNUMBER(G32),ISNUMBER(H32)),(H32-G32)*24,"")</f>
        <v/>
      </c>
    </row>
    <row r="33" customFormat="false" ht="15" hidden="false" customHeight="false" outlineLevel="0" collapsed="false">
      <c r="A33" s="4"/>
      <c r="B33" s="4"/>
      <c r="C33" s="5"/>
      <c r="D33" s="5"/>
      <c r="E33" s="4"/>
      <c r="F33" s="4"/>
      <c r="G33" s="5"/>
      <c r="H33" s="5"/>
      <c r="I33" s="6" t="str">
        <f aca="false">IF(AND(ISNUMBER(C33),ISNUMBER(D33),E33="Sí"),(D33-C33)*24,"")</f>
        <v/>
      </c>
      <c r="J33" s="6" t="str">
        <f aca="false">IF(AND(F33="Sí",ISNUMBER(G33),ISNUMBER(H33)),(H33-G33)*24,"")</f>
        <v/>
      </c>
    </row>
    <row r="34" customFormat="false" ht="15" hidden="false" customHeight="false" outlineLevel="0" collapsed="false">
      <c r="A34" s="4"/>
      <c r="B34" s="4"/>
      <c r="C34" s="5"/>
      <c r="D34" s="5"/>
      <c r="E34" s="4"/>
      <c r="F34" s="4"/>
      <c r="G34" s="5"/>
      <c r="H34" s="5"/>
      <c r="I34" s="6" t="str">
        <f aca="false">IF(AND(ISNUMBER(C34),ISNUMBER(D34),E34="Sí"),(D34-C34)*24,"")</f>
        <v/>
      </c>
      <c r="J34" s="6" t="str">
        <f aca="false">IF(AND(F34="Sí",ISNUMBER(G34),ISNUMBER(H34)),(H34-G34)*24,"")</f>
        <v/>
      </c>
    </row>
    <row r="35" customFormat="false" ht="15" hidden="false" customHeight="false" outlineLevel="0" collapsed="false">
      <c r="A35" s="4"/>
      <c r="B35" s="4"/>
      <c r="C35" s="5"/>
      <c r="D35" s="5"/>
      <c r="E35" s="4"/>
      <c r="F35" s="4"/>
      <c r="G35" s="5"/>
      <c r="H35" s="5"/>
      <c r="I35" s="6" t="str">
        <f aca="false">IF(AND(ISNUMBER(C35),ISNUMBER(D35),E35="Sí"),(D35-C35)*24,"")</f>
        <v/>
      </c>
      <c r="J35" s="6" t="str">
        <f aca="false">IF(AND(F35="Sí",ISNUMBER(G35),ISNUMBER(H35)),(H35-G35)*24,"")</f>
        <v/>
      </c>
    </row>
    <row r="36" customFormat="false" ht="15" hidden="false" customHeight="false" outlineLevel="0" collapsed="false">
      <c r="A36" s="4"/>
      <c r="B36" s="4"/>
      <c r="C36" s="5"/>
      <c r="D36" s="5"/>
      <c r="E36" s="4"/>
      <c r="F36" s="4"/>
      <c r="G36" s="5"/>
      <c r="H36" s="5"/>
      <c r="I36" s="6" t="str">
        <f aca="false">IF(AND(ISNUMBER(C36),ISNUMBER(D36),E36="Sí"),(D36-C36)*24,"")</f>
        <v/>
      </c>
      <c r="J36" s="6" t="str">
        <f aca="false">IF(AND(F36="Sí",ISNUMBER(G36),ISNUMBER(H36)),(H36-G36)*24,"")</f>
        <v/>
      </c>
    </row>
    <row r="37" customFormat="false" ht="15" hidden="false" customHeight="false" outlineLevel="0" collapsed="false">
      <c r="A37" s="4"/>
      <c r="B37" s="4"/>
      <c r="C37" s="5"/>
      <c r="D37" s="5"/>
      <c r="E37" s="4"/>
      <c r="F37" s="4"/>
      <c r="G37" s="5"/>
      <c r="H37" s="5"/>
      <c r="I37" s="6" t="str">
        <f aca="false">IF(AND(ISNUMBER(C37),ISNUMBER(D37),E37="Sí"),(D37-C37)*24,"")</f>
        <v/>
      </c>
      <c r="J37" s="6" t="str">
        <f aca="false">IF(AND(F37="Sí",ISNUMBER(G37),ISNUMBER(H37)),(H37-G37)*24,"")</f>
        <v/>
      </c>
    </row>
    <row r="38" customFormat="false" ht="15" hidden="false" customHeight="false" outlineLevel="0" collapsed="false">
      <c r="A38" s="4"/>
      <c r="B38" s="4"/>
      <c r="C38" s="5"/>
      <c r="D38" s="5"/>
      <c r="E38" s="4"/>
      <c r="F38" s="4"/>
      <c r="G38" s="5"/>
      <c r="H38" s="5"/>
      <c r="I38" s="6" t="str">
        <f aca="false">IF(AND(ISNUMBER(C38),ISNUMBER(D38),E38="Sí"),(D38-C38)*24,"")</f>
        <v/>
      </c>
      <c r="J38" s="6" t="str">
        <f aca="false">IF(AND(F38="Sí",ISNUMBER(G38),ISNUMBER(H38)),(H38-G38)*24,"")</f>
        <v/>
      </c>
    </row>
    <row r="39" customFormat="false" ht="15" hidden="false" customHeight="false" outlineLevel="0" collapsed="false">
      <c r="A39" s="4"/>
      <c r="B39" s="4"/>
      <c r="C39" s="5"/>
      <c r="D39" s="5"/>
      <c r="E39" s="4"/>
      <c r="F39" s="4"/>
      <c r="G39" s="5"/>
      <c r="H39" s="5"/>
      <c r="I39" s="6" t="str">
        <f aca="false">IF(AND(ISNUMBER(C39),ISNUMBER(D39),E39="Sí"),(D39-C39)*24,"")</f>
        <v/>
      </c>
      <c r="J39" s="6" t="str">
        <f aca="false">IF(AND(F39="Sí",ISNUMBER(G39),ISNUMBER(H39)),(H39-G39)*24,"")</f>
        <v/>
      </c>
    </row>
    <row r="40" customFormat="false" ht="15" hidden="false" customHeight="false" outlineLevel="0" collapsed="false">
      <c r="A40" s="4"/>
      <c r="B40" s="4"/>
      <c r="C40" s="5"/>
      <c r="D40" s="5"/>
      <c r="E40" s="4"/>
      <c r="F40" s="4"/>
      <c r="G40" s="5"/>
      <c r="H40" s="5"/>
      <c r="I40" s="6" t="str">
        <f aca="false">IF(AND(ISNUMBER(C40),ISNUMBER(D40),E40="Sí"),(D40-C40)*24,"")</f>
        <v/>
      </c>
      <c r="J40" s="6" t="str">
        <f aca="false">IF(AND(F40="Sí",ISNUMBER(G40),ISNUMBER(H40)),(H40-G40)*24,"")</f>
        <v/>
      </c>
    </row>
    <row r="41" customFormat="false" ht="15" hidden="false" customHeight="false" outlineLevel="0" collapsed="false">
      <c r="A41" s="4"/>
      <c r="B41" s="4"/>
      <c r="C41" s="5"/>
      <c r="D41" s="5"/>
      <c r="E41" s="4"/>
      <c r="F41" s="4"/>
      <c r="G41" s="5"/>
      <c r="H41" s="5"/>
      <c r="I41" s="6" t="str">
        <f aca="false">IF(AND(ISNUMBER(C41),ISNUMBER(D41),E41="Sí"),(D41-C41)*24,"")</f>
        <v/>
      </c>
      <c r="J41" s="6" t="str">
        <f aca="false">IF(AND(F41="Sí",ISNUMBER(G41),ISNUMBER(H41)),(H41-G41)*24,"")</f>
        <v/>
      </c>
    </row>
    <row r="42" customFormat="false" ht="15" hidden="false" customHeight="false" outlineLevel="0" collapsed="false">
      <c r="A42" s="4"/>
      <c r="B42" s="4"/>
      <c r="C42" s="5"/>
      <c r="D42" s="5"/>
      <c r="E42" s="4"/>
      <c r="F42" s="4"/>
      <c r="G42" s="5"/>
      <c r="H42" s="5"/>
      <c r="I42" s="6" t="str">
        <f aca="false">IF(AND(ISNUMBER(C42),ISNUMBER(D42),E42="Sí"),(D42-C42)*24,"")</f>
        <v/>
      </c>
      <c r="J42" s="6" t="str">
        <f aca="false">IF(AND(F42="Sí",ISNUMBER(G42),ISNUMBER(H42)),(H42-G42)*24,"")</f>
        <v/>
      </c>
    </row>
    <row r="43" customFormat="false" ht="15" hidden="false" customHeight="false" outlineLevel="0" collapsed="false">
      <c r="A43" s="4"/>
      <c r="B43" s="4"/>
      <c r="C43" s="5"/>
      <c r="D43" s="5"/>
      <c r="E43" s="4"/>
      <c r="F43" s="4"/>
      <c r="G43" s="5"/>
      <c r="H43" s="5"/>
      <c r="I43" s="6" t="str">
        <f aca="false">IF(AND(ISNUMBER(C43),ISNUMBER(D43),E43="Sí"),(D43-C43)*24,"")</f>
        <v/>
      </c>
      <c r="J43" s="6" t="str">
        <f aca="false">IF(AND(F43="Sí",ISNUMBER(G43),ISNUMBER(H43)),(H43-G43)*24,"")</f>
        <v/>
      </c>
    </row>
    <row r="44" customFormat="false" ht="15" hidden="false" customHeight="false" outlineLevel="0" collapsed="false">
      <c r="A44" s="4"/>
      <c r="B44" s="4"/>
      <c r="C44" s="5"/>
      <c r="D44" s="5"/>
      <c r="E44" s="4"/>
      <c r="F44" s="4"/>
      <c r="G44" s="5"/>
      <c r="H44" s="5"/>
      <c r="I44" s="6" t="str">
        <f aca="false">IF(AND(ISNUMBER(C44),ISNUMBER(D44),E44="Sí"),(D44-C44)*24,"")</f>
        <v/>
      </c>
      <c r="J44" s="6" t="str">
        <f aca="false">IF(AND(F44="Sí",ISNUMBER(G44),ISNUMBER(H44)),(H44-G44)*24,"")</f>
        <v/>
      </c>
    </row>
    <row r="45" customFormat="false" ht="15" hidden="false" customHeight="false" outlineLevel="0" collapsed="false">
      <c r="A45" s="4"/>
      <c r="B45" s="4"/>
      <c r="C45" s="5"/>
      <c r="D45" s="5"/>
      <c r="E45" s="4"/>
      <c r="F45" s="4"/>
      <c r="G45" s="5"/>
      <c r="H45" s="5"/>
      <c r="I45" s="6" t="str">
        <f aca="false">IF(AND(ISNUMBER(C45),ISNUMBER(D45),E45="Sí"),(D45-C45)*24,"")</f>
        <v/>
      </c>
      <c r="J45" s="6" t="str">
        <f aca="false">IF(AND(F45="Sí",ISNUMBER(G45),ISNUMBER(H45)),(H45-G45)*24,"")</f>
        <v/>
      </c>
    </row>
    <row r="46" customFormat="false" ht="15" hidden="false" customHeight="false" outlineLevel="0" collapsed="false">
      <c r="A46" s="4"/>
      <c r="B46" s="4"/>
      <c r="C46" s="5"/>
      <c r="D46" s="5"/>
      <c r="E46" s="4"/>
      <c r="F46" s="4"/>
      <c r="G46" s="5"/>
      <c r="H46" s="5"/>
      <c r="I46" s="6" t="str">
        <f aca="false">IF(AND(ISNUMBER(C46),ISNUMBER(D46),E46="Sí"),(D46-C46)*24,"")</f>
        <v/>
      </c>
      <c r="J46" s="6" t="str">
        <f aca="false">IF(AND(F46="Sí",ISNUMBER(G46),ISNUMBER(H46)),(H46-G46)*24,"")</f>
        <v/>
      </c>
    </row>
    <row r="47" customFormat="false" ht="15" hidden="false" customHeight="false" outlineLevel="0" collapsed="false">
      <c r="A47" s="4"/>
      <c r="B47" s="4"/>
      <c r="C47" s="5"/>
      <c r="D47" s="5"/>
      <c r="E47" s="4"/>
      <c r="F47" s="4"/>
      <c r="G47" s="5"/>
      <c r="H47" s="5"/>
      <c r="I47" s="6" t="str">
        <f aca="false">IF(AND(ISNUMBER(C47),ISNUMBER(D47),E47="Sí"),(D47-C47)*24,"")</f>
        <v/>
      </c>
      <c r="J47" s="6" t="str">
        <f aca="false">IF(AND(F47="Sí",ISNUMBER(G47),ISNUMBER(H47)),(H47-G47)*24,"")</f>
        <v/>
      </c>
    </row>
    <row r="48" customFormat="false" ht="15" hidden="false" customHeight="false" outlineLevel="0" collapsed="false">
      <c r="A48" s="4"/>
      <c r="B48" s="4"/>
      <c r="C48" s="5"/>
      <c r="D48" s="5"/>
      <c r="E48" s="4"/>
      <c r="F48" s="4"/>
      <c r="G48" s="5"/>
      <c r="H48" s="5"/>
      <c r="I48" s="6" t="str">
        <f aca="false">IF(AND(ISNUMBER(C48),ISNUMBER(D48),E48="Sí"),(D48-C48)*24,"")</f>
        <v/>
      </c>
      <c r="J48" s="6" t="str">
        <f aca="false">IF(AND(F48="Sí",ISNUMBER(G48),ISNUMBER(H48)),(H48-G48)*24,"")</f>
        <v/>
      </c>
    </row>
    <row r="49" customFormat="false" ht="15" hidden="false" customHeight="false" outlineLevel="0" collapsed="false">
      <c r="A49" s="4"/>
      <c r="B49" s="4"/>
      <c r="C49" s="5"/>
      <c r="D49" s="5"/>
      <c r="E49" s="4"/>
      <c r="F49" s="4"/>
      <c r="G49" s="5"/>
      <c r="H49" s="5"/>
      <c r="I49" s="6" t="str">
        <f aca="false">IF(AND(ISNUMBER(C49),ISNUMBER(D49),E49="Sí"),(D49-C49)*24,"")</f>
        <v/>
      </c>
      <c r="J49" s="6" t="str">
        <f aca="false">IF(AND(F49="Sí",ISNUMBER(G49),ISNUMBER(H49)),(H49-G49)*24,"")</f>
        <v/>
      </c>
    </row>
    <row r="50" customFormat="false" ht="15" hidden="false" customHeight="false" outlineLevel="0" collapsed="false">
      <c r="A50" s="4"/>
      <c r="B50" s="4"/>
      <c r="C50" s="5"/>
      <c r="D50" s="5"/>
      <c r="E50" s="4"/>
      <c r="F50" s="4"/>
      <c r="G50" s="5"/>
      <c r="H50" s="5"/>
      <c r="I50" s="6" t="str">
        <f aca="false">IF(AND(ISNUMBER(C50),ISNUMBER(D50),E50="Sí"),(D50-C50)*24,"")</f>
        <v/>
      </c>
      <c r="J50" s="6" t="str">
        <f aca="false">IF(AND(F50="Sí",ISNUMBER(G50),ISNUMBER(H50)),(H50-G50)*24,"")</f>
        <v/>
      </c>
    </row>
    <row r="51" customFormat="false" ht="15" hidden="false" customHeight="false" outlineLevel="0" collapsed="false">
      <c r="A51" s="4"/>
      <c r="B51" s="4"/>
      <c r="C51" s="5"/>
      <c r="D51" s="5"/>
      <c r="E51" s="4"/>
      <c r="F51" s="4"/>
      <c r="G51" s="5"/>
      <c r="H51" s="5"/>
      <c r="I51" s="6" t="str">
        <f aca="false">IF(AND(ISNUMBER(C51),ISNUMBER(D51),E51="Sí"),(D51-C51)*24,"")</f>
        <v/>
      </c>
      <c r="J51" s="6" t="str">
        <f aca="false">IF(AND(F51="Sí",ISNUMBER(G51),ISNUMBER(H51)),(H51-G51)*24,"")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7" t="s">
        <v>18</v>
      </c>
      <c r="B1" s="8" t="n">
        <v>46286</v>
      </c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19</v>
      </c>
      <c r="B2" s="8" t="n">
        <v>46342</v>
      </c>
      <c r="C2" s="7"/>
      <c r="D2" s="7"/>
      <c r="E2" s="7"/>
      <c r="F2" s="7"/>
      <c r="G2" s="7"/>
      <c r="H2" s="7"/>
      <c r="I2" s="7"/>
      <c r="J2" s="7"/>
    </row>
    <row r="3" customFormat="false" ht="15" hidden="false" customHeight="false" outlineLevel="0" collapsed="false">
      <c r="A3" s="7" t="s">
        <v>20</v>
      </c>
      <c r="B3" s="6" t="n">
        <f aca="false">(B2-B1)/7</f>
        <v>8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7" t="s">
        <v>21</v>
      </c>
      <c r="B4" s="7" t="n">
        <f aca="false">COUNT(Registro!D2:D51)</f>
        <v>0</v>
      </c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 t="s">
        <v>22</v>
      </c>
      <c r="B5" s="7" t="n">
        <f aca="false">COUNTIFS(Registro!D2:D51,"&gt;0",Registro!E2:E51,"Sí")</f>
        <v>0</v>
      </c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 t="s">
        <v>23</v>
      </c>
      <c r="B6" s="7" t="n">
        <f aca="false">COUNTIFS(Registro!D2:D51,"&gt;0",Registro!F2:F51,"Sí")</f>
        <v>0</v>
      </c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</row>
    <row r="9" customFormat="false" ht="26.85" hidden="false" customHeight="false" outlineLevel="0" collapsed="false">
      <c r="A9" s="9" t="s">
        <v>34</v>
      </c>
      <c r="B9" s="9" t="s">
        <v>35</v>
      </c>
      <c r="C9" s="9" t="s">
        <v>36</v>
      </c>
      <c r="D9" s="9" t="str">
        <f aca="false">TEXT($B$1,"yyyy-mm-dd")&amp;" a "&amp;TEXT($B$2,"yyyy-mm-dd")</f>
        <v>2026-09-21 a 2026-11-16</v>
      </c>
      <c r="E9" s="10" t="str">
        <f aca="false">IF($B$4=0,"—",$B$5/$B$3)</f>
        <v>—</v>
      </c>
      <c r="F9" s="9" t="s">
        <v>37</v>
      </c>
      <c r="G9" s="9" t="s">
        <v>38</v>
      </c>
      <c r="H9" s="9" t="str">
        <f aca="false">IF($B$4=0,"Sin despliegues medidos","Medido")</f>
        <v>Sin despliegues medidos</v>
      </c>
      <c r="I9" s="9" t="s">
        <v>39</v>
      </c>
      <c r="J9" s="9" t="s">
        <v>40</v>
      </c>
    </row>
    <row r="10" customFormat="false" ht="26.85" hidden="false" customHeight="false" outlineLevel="0" collapsed="false">
      <c r="A10" s="9" t="s">
        <v>41</v>
      </c>
      <c r="B10" s="9" t="s">
        <v>42</v>
      </c>
      <c r="C10" s="9" t="s">
        <v>43</v>
      </c>
      <c r="D10" s="9" t="str">
        <f aca="false">TEXT($B$1,"yyyy-mm-dd")&amp;" a "&amp;TEXT($B$2,"yyyy-mm-dd")</f>
        <v>2026-09-21 a 2026-11-16</v>
      </c>
      <c r="E10" s="10" t="str">
        <f aca="false">IF(COUNT(Registro!I2:I51)=0,"—",AVERAGE(Registro!I2:I51))</f>
        <v>—</v>
      </c>
      <c r="F10" s="9" t="s">
        <v>44</v>
      </c>
      <c r="G10" s="9" t="s">
        <v>45</v>
      </c>
      <c r="H10" s="9" t="str">
        <f aca="false">IF($B$4=0,"Sin despliegues medidos",IF(COUNT(Registro!I2:I51)=0,"Datos insuficientes","Medido"))</f>
        <v>Sin despliegues medidos</v>
      </c>
      <c r="I10" s="9" t="s">
        <v>46</v>
      </c>
      <c r="J10" s="9" t="s">
        <v>47</v>
      </c>
    </row>
    <row r="11" customFormat="false" ht="39.55" hidden="false" customHeight="false" outlineLevel="0" collapsed="false">
      <c r="A11" s="9" t="s">
        <v>48</v>
      </c>
      <c r="B11" s="9" t="s">
        <v>49</v>
      </c>
      <c r="C11" s="9" t="s">
        <v>50</v>
      </c>
      <c r="D11" s="9" t="str">
        <f aca="false">TEXT($B$1,"yyyy-mm-dd")&amp;" a "&amp;TEXT($B$2,"yyyy-mm-dd")</f>
        <v>2026-09-21 a 2026-11-16</v>
      </c>
      <c r="E11" s="10" t="str">
        <f aca="false">IF($B$4=0,"—",$B$6/$B$4*100)</f>
        <v>—</v>
      </c>
      <c r="F11" s="9" t="s">
        <v>51</v>
      </c>
      <c r="G11" s="9" t="s">
        <v>52</v>
      </c>
      <c r="H11" s="9" t="str">
        <f aca="false">IF($B$4=0,"Sin despliegues medidos","Medido")</f>
        <v>Sin despliegues medidos</v>
      </c>
      <c r="I11" s="9" t="s">
        <v>53</v>
      </c>
      <c r="J11" s="9" t="s">
        <v>54</v>
      </c>
    </row>
    <row r="12" customFormat="false" ht="26.85" hidden="false" customHeight="false" outlineLevel="0" collapsed="false">
      <c r="A12" s="9" t="s">
        <v>55</v>
      </c>
      <c r="B12" s="9" t="s">
        <v>56</v>
      </c>
      <c r="C12" s="9" t="s">
        <v>57</v>
      </c>
      <c r="D12" s="9" t="str">
        <f aca="false">TEXT($B$1,"yyyy-mm-dd")&amp;" a "&amp;TEXT($B$2,"yyyy-mm-dd")</f>
        <v>2026-09-21 a 2026-11-16</v>
      </c>
      <c r="E12" s="10" t="str">
        <f aca="false">IF(COUNT(Registro!J2:J51)=0,"—",AVERAGE(Registro!J2:J51))</f>
        <v>—</v>
      </c>
      <c r="F12" s="9" t="s">
        <v>44</v>
      </c>
      <c r="G12" s="9" t="s">
        <v>58</v>
      </c>
      <c r="H12" s="9" t="str">
        <f aca="false">IF($B$4=0,"Sin despliegues medidos",IF(COUNT(Registro!J2:J51)=0,"Sin fallos registrados","Medido"))</f>
        <v>Sin despliegues medidos</v>
      </c>
      <c r="I12" s="9" t="s">
        <v>59</v>
      </c>
      <c r="J12" s="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8" min="7" style="0" width="18"/>
    <col collapsed="false" customWidth="true" hidden="false" outlineLevel="0" max="10" min="9" style="0" width="14"/>
  </cols>
  <sheetData>
    <row r="1" customFormat="false" ht="39.5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customFormat="false" ht="15" hidden="false" customHeight="false" outlineLevel="0" collapsed="false">
      <c r="A2" s="4" t="s">
        <v>61</v>
      </c>
      <c r="B2" s="4" t="s">
        <v>62</v>
      </c>
      <c r="C2" s="5" t="n">
        <v>46301.375</v>
      </c>
      <c r="D2" s="5" t="n">
        <v>46303.7083333333</v>
      </c>
      <c r="E2" s="4" t="s">
        <v>63</v>
      </c>
      <c r="F2" s="4" t="s">
        <v>64</v>
      </c>
      <c r="G2" s="5"/>
      <c r="H2" s="5"/>
      <c r="I2" s="6" t="n">
        <f aca="false">IF(AND(ISNUMBER(C2),ISNUMBER(D2),E2="Sí"),(D2-C2)*24,"")</f>
        <v>56</v>
      </c>
      <c r="J2" s="6" t="str">
        <f aca="false">IF(AND(F2="Sí",ISNUMBER(G2),ISNUMBER(H2)),(H2-G2)*24,"")</f>
        <v/>
      </c>
    </row>
    <row r="3" customFormat="false" ht="15" hidden="false" customHeight="false" outlineLevel="0" collapsed="false">
      <c r="A3" s="4" t="s">
        <v>65</v>
      </c>
      <c r="B3" s="4" t="s">
        <v>66</v>
      </c>
      <c r="C3" s="5" t="n">
        <v>46308.375</v>
      </c>
      <c r="D3" s="5" t="n">
        <v>46310.5</v>
      </c>
      <c r="E3" s="4" t="s">
        <v>63</v>
      </c>
      <c r="F3" s="4" t="s">
        <v>63</v>
      </c>
      <c r="G3" s="5" t="n">
        <v>46310.5416666667</v>
      </c>
      <c r="H3" s="5" t="n">
        <v>46310.6875</v>
      </c>
      <c r="I3" s="6" t="n">
        <f aca="false">IF(AND(ISNUMBER(C3),ISNUMBER(D3),E3="Sí"),(D3-C3)*24,"")</f>
        <v>51</v>
      </c>
      <c r="J3" s="6" t="n">
        <f aca="false">IF(AND(F3="Sí",ISNUMBER(G3),ISNUMBER(H3)),(H3-G3)*24,"")</f>
        <v>3.5</v>
      </c>
    </row>
    <row r="4" customFormat="false" ht="15" hidden="false" customHeight="false" outlineLevel="0" collapsed="false">
      <c r="A4" s="4" t="s">
        <v>67</v>
      </c>
      <c r="B4" s="4" t="s">
        <v>68</v>
      </c>
      <c r="C4" s="5" t="n">
        <v>46315.3333333333</v>
      </c>
      <c r="D4" s="5" t="n">
        <v>46318.4166666667</v>
      </c>
      <c r="E4" s="4" t="s">
        <v>63</v>
      </c>
      <c r="F4" s="4" t="s">
        <v>64</v>
      </c>
      <c r="G4" s="5"/>
      <c r="H4" s="5"/>
      <c r="I4" s="6" t="n">
        <f aca="false">IF(AND(ISNUMBER(C4),ISNUMBER(D4),E4="Sí"),(D4-C4)*24,"")</f>
        <v>73.9999999995342</v>
      </c>
      <c r="J4" s="6" t="str">
        <f aca="false">IF(AND(F4="Sí",ISNUMBER(G4),ISNUMBER(H4)),(H4-G4)*24,"")</f>
        <v/>
      </c>
    </row>
    <row r="5" customFormat="false" ht="15" hidden="false" customHeight="false" outlineLevel="0" collapsed="false">
      <c r="A5" s="4"/>
      <c r="B5" s="4"/>
      <c r="C5" s="5"/>
      <c r="D5" s="5"/>
      <c r="E5" s="4"/>
      <c r="F5" s="4"/>
      <c r="G5" s="5"/>
      <c r="H5" s="5"/>
      <c r="I5" s="6" t="str">
        <f aca="false">IF(AND(ISNUMBER(C5),ISNUMBER(D5),E5="Sí"),(D5-C5)*24,"")</f>
        <v/>
      </c>
      <c r="J5" s="6" t="str">
        <f aca="false">IF(AND(F5="Sí",ISNUMBER(G5),ISNUMBER(H5)),(H5-G5)*24,"")</f>
        <v/>
      </c>
    </row>
    <row r="6" customFormat="false" ht="15" hidden="false" customHeight="false" outlineLevel="0" collapsed="false">
      <c r="A6" s="4"/>
      <c r="B6" s="4"/>
      <c r="C6" s="5"/>
      <c r="D6" s="5"/>
      <c r="E6" s="4"/>
      <c r="F6" s="4"/>
      <c r="G6" s="5"/>
      <c r="H6" s="5"/>
      <c r="I6" s="6" t="str">
        <f aca="false">IF(AND(ISNUMBER(C6),ISNUMBER(D6),E6="Sí"),(D6-C6)*24,"")</f>
        <v/>
      </c>
      <c r="J6" s="6" t="str">
        <f aca="false">IF(AND(F6="Sí",ISNUMBER(G6),ISNUMBER(H6)),(H6-G6)*24,"")</f>
        <v/>
      </c>
    </row>
    <row r="7" customFormat="false" ht="15" hidden="false" customHeight="false" outlineLevel="0" collapsed="false">
      <c r="A7" s="4"/>
      <c r="B7" s="4"/>
      <c r="C7" s="5"/>
      <c r="D7" s="5"/>
      <c r="E7" s="4"/>
      <c r="F7" s="4"/>
      <c r="G7" s="5"/>
      <c r="H7" s="5"/>
      <c r="I7" s="6" t="str">
        <f aca="false">IF(AND(ISNUMBER(C7),ISNUMBER(D7),E7="Sí"),(D7-C7)*24,"")</f>
        <v/>
      </c>
      <c r="J7" s="6" t="str">
        <f aca="false">IF(AND(F7="Sí",ISNUMBER(G7),ISNUMBER(H7)),(H7-G7)*24,"")</f>
        <v/>
      </c>
    </row>
    <row r="8" customFormat="false" ht="15" hidden="false" customHeight="false" outlineLevel="0" collapsed="false">
      <c r="A8" s="4"/>
      <c r="B8" s="4"/>
      <c r="C8" s="5"/>
      <c r="D8" s="5"/>
      <c r="E8" s="4"/>
      <c r="F8" s="4"/>
      <c r="G8" s="5"/>
      <c r="H8" s="5"/>
      <c r="I8" s="6" t="str">
        <f aca="false">IF(AND(ISNUMBER(C8),ISNUMBER(D8),E8="Sí"),(D8-C8)*24,"")</f>
        <v/>
      </c>
      <c r="J8" s="6" t="str">
        <f aca="false">IF(AND(F8="Sí",ISNUMBER(G8),ISNUMBER(H8)),(H8-G8)*24,"")</f>
        <v/>
      </c>
    </row>
    <row r="9" customFormat="false" ht="15" hidden="false" customHeight="false" outlineLevel="0" collapsed="false">
      <c r="A9" s="4"/>
      <c r="B9" s="4"/>
      <c r="C9" s="5"/>
      <c r="D9" s="5"/>
      <c r="E9" s="4"/>
      <c r="F9" s="4"/>
      <c r="G9" s="5"/>
      <c r="H9" s="5"/>
      <c r="I9" s="6" t="str">
        <f aca="false">IF(AND(ISNUMBER(C9),ISNUMBER(D9),E9="Sí"),(D9-C9)*24,"")</f>
        <v/>
      </c>
      <c r="J9" s="6" t="str">
        <f aca="false">IF(AND(F9="Sí",ISNUMBER(G9),ISNUMBER(H9)),(H9-G9)*24,"")</f>
        <v/>
      </c>
    </row>
    <row r="10" customFormat="false" ht="15" hidden="false" customHeight="false" outlineLevel="0" collapsed="false">
      <c r="A10" s="4"/>
      <c r="B10" s="4"/>
      <c r="C10" s="5"/>
      <c r="D10" s="5"/>
      <c r="E10" s="4"/>
      <c r="F10" s="4"/>
      <c r="G10" s="5"/>
      <c r="H10" s="5"/>
      <c r="I10" s="6" t="str">
        <f aca="false">IF(AND(ISNUMBER(C10),ISNUMBER(D10),E10="Sí"),(D10-C10)*24,"")</f>
        <v/>
      </c>
      <c r="J10" s="6" t="str">
        <f aca="false">IF(AND(F10="Sí",ISNUMBER(G10),ISNUMBER(H10)),(H10-G10)*24,"")</f>
        <v/>
      </c>
    </row>
    <row r="11" customFormat="false" ht="15" hidden="false" customHeight="false" outlineLevel="0" collapsed="false">
      <c r="A11" s="4"/>
      <c r="B11" s="4"/>
      <c r="C11" s="5"/>
      <c r="D11" s="5"/>
      <c r="E11" s="4"/>
      <c r="F11" s="4"/>
      <c r="G11" s="5"/>
      <c r="H11" s="5"/>
      <c r="I11" s="6" t="str">
        <f aca="false">IF(AND(ISNUMBER(C11),ISNUMBER(D11),E11="Sí"),(D11-C11)*24,"")</f>
        <v/>
      </c>
      <c r="J11" s="6" t="str">
        <f aca="false">IF(AND(F11="Sí",ISNUMBER(G11),ISNUMBER(H11)),(H11-G11)*24,"")</f>
        <v/>
      </c>
    </row>
    <row r="12" customFormat="false" ht="15" hidden="false" customHeight="false" outlineLevel="0" collapsed="false">
      <c r="A12" s="4"/>
      <c r="B12" s="4"/>
      <c r="C12" s="5"/>
      <c r="D12" s="5"/>
      <c r="E12" s="4"/>
      <c r="F12" s="4"/>
      <c r="G12" s="5"/>
      <c r="H12" s="5"/>
      <c r="I12" s="6" t="str">
        <f aca="false">IF(AND(ISNUMBER(C12),ISNUMBER(D12),E12="Sí"),(D12-C12)*24,"")</f>
        <v/>
      </c>
      <c r="J12" s="6" t="str">
        <f aca="false">IF(AND(F12="Sí",ISNUMBER(G12),ISNUMBER(H12)),(H12-G12)*24,"")</f>
        <v/>
      </c>
    </row>
    <row r="13" customFormat="false" ht="15" hidden="false" customHeight="false" outlineLevel="0" collapsed="false">
      <c r="A13" s="4"/>
      <c r="B13" s="4"/>
      <c r="C13" s="5"/>
      <c r="D13" s="5"/>
      <c r="E13" s="4"/>
      <c r="F13" s="4"/>
      <c r="G13" s="5"/>
      <c r="H13" s="5"/>
      <c r="I13" s="6" t="str">
        <f aca="false">IF(AND(ISNUMBER(C13),ISNUMBER(D13),E13="Sí"),(D13-C13)*24,"")</f>
        <v/>
      </c>
      <c r="J13" s="6" t="str">
        <f aca="false">IF(AND(F13="Sí",ISNUMBER(G13),ISNUMBER(H13)),(H13-G13)*24,"")</f>
        <v/>
      </c>
    </row>
    <row r="14" customFormat="false" ht="15" hidden="false" customHeight="false" outlineLevel="0" collapsed="false">
      <c r="A14" s="4"/>
      <c r="B14" s="4"/>
      <c r="C14" s="5"/>
      <c r="D14" s="5"/>
      <c r="E14" s="4"/>
      <c r="F14" s="4"/>
      <c r="G14" s="5"/>
      <c r="H14" s="5"/>
      <c r="I14" s="6" t="str">
        <f aca="false">IF(AND(ISNUMBER(C14),ISNUMBER(D14),E14="Sí"),(D14-C14)*24,"")</f>
        <v/>
      </c>
      <c r="J14" s="6" t="str">
        <f aca="false">IF(AND(F14="Sí",ISNUMBER(G14),ISNUMBER(H14)),(H14-G14)*24,"")</f>
        <v/>
      </c>
    </row>
    <row r="15" customFormat="false" ht="15" hidden="false" customHeight="false" outlineLevel="0" collapsed="false">
      <c r="A15" s="4"/>
      <c r="B15" s="4"/>
      <c r="C15" s="5"/>
      <c r="D15" s="5"/>
      <c r="E15" s="4"/>
      <c r="F15" s="4"/>
      <c r="G15" s="5"/>
      <c r="H15" s="5"/>
      <c r="I15" s="6" t="str">
        <f aca="false">IF(AND(ISNUMBER(C15),ISNUMBER(D15),E15="Sí"),(D15-C15)*24,"")</f>
        <v/>
      </c>
      <c r="J15" s="6" t="str">
        <f aca="false">IF(AND(F15="Sí",ISNUMBER(G15),ISNUMBER(H15)),(H15-G15)*24,"")</f>
        <v/>
      </c>
    </row>
    <row r="16" customFormat="false" ht="15" hidden="false" customHeight="false" outlineLevel="0" collapsed="false">
      <c r="A16" s="4"/>
      <c r="B16" s="4"/>
      <c r="C16" s="5"/>
      <c r="D16" s="5"/>
      <c r="E16" s="4"/>
      <c r="F16" s="4"/>
      <c r="G16" s="5"/>
      <c r="H16" s="5"/>
      <c r="I16" s="6" t="str">
        <f aca="false">IF(AND(ISNUMBER(C16),ISNUMBER(D16),E16="Sí"),(D16-C16)*24,"")</f>
        <v/>
      </c>
      <c r="J16" s="6" t="str">
        <f aca="false">IF(AND(F16="Sí",ISNUMBER(G16),ISNUMBER(H16)),(H16-G16)*24,"")</f>
        <v/>
      </c>
    </row>
    <row r="17" customFormat="false" ht="15" hidden="false" customHeight="false" outlineLevel="0" collapsed="false">
      <c r="A17" s="4"/>
      <c r="B17" s="4"/>
      <c r="C17" s="5"/>
      <c r="D17" s="5"/>
      <c r="E17" s="4"/>
      <c r="F17" s="4"/>
      <c r="G17" s="5"/>
      <c r="H17" s="5"/>
      <c r="I17" s="6" t="str">
        <f aca="false">IF(AND(ISNUMBER(C17),ISNUMBER(D17),E17="Sí"),(D17-C17)*24,"")</f>
        <v/>
      </c>
      <c r="J17" s="6" t="str">
        <f aca="false">IF(AND(F17="Sí",ISNUMBER(G17),ISNUMBER(H17)),(H17-G17)*24,"")</f>
        <v/>
      </c>
    </row>
    <row r="18" customFormat="false" ht="15" hidden="false" customHeight="false" outlineLevel="0" collapsed="false">
      <c r="A18" s="4"/>
      <c r="B18" s="4"/>
      <c r="C18" s="5"/>
      <c r="D18" s="5"/>
      <c r="E18" s="4"/>
      <c r="F18" s="4"/>
      <c r="G18" s="5"/>
      <c r="H18" s="5"/>
      <c r="I18" s="6" t="str">
        <f aca="false">IF(AND(ISNUMBER(C18),ISNUMBER(D18),E18="Sí"),(D18-C18)*24,"")</f>
        <v/>
      </c>
      <c r="J18" s="6" t="str">
        <f aca="false">IF(AND(F18="Sí",ISNUMBER(G18),ISNUMBER(H18)),(H18-G18)*24,"")</f>
        <v/>
      </c>
    </row>
    <row r="19" customFormat="false" ht="15" hidden="false" customHeight="false" outlineLevel="0" collapsed="false">
      <c r="A19" s="4"/>
      <c r="B19" s="4"/>
      <c r="C19" s="5"/>
      <c r="D19" s="5"/>
      <c r="E19" s="4"/>
      <c r="F19" s="4"/>
      <c r="G19" s="5"/>
      <c r="H19" s="5"/>
      <c r="I19" s="6" t="str">
        <f aca="false">IF(AND(ISNUMBER(C19),ISNUMBER(D19),E19="Sí"),(D19-C19)*24,"")</f>
        <v/>
      </c>
      <c r="J19" s="6" t="str">
        <f aca="false">IF(AND(F19="Sí",ISNUMBER(G19),ISNUMBER(H19)),(H19-G19)*24,"")</f>
        <v/>
      </c>
    </row>
    <row r="20" customFormat="false" ht="15" hidden="false" customHeight="false" outlineLevel="0" collapsed="false">
      <c r="A20" s="4"/>
      <c r="B20" s="4"/>
      <c r="C20" s="5"/>
      <c r="D20" s="5"/>
      <c r="E20" s="4"/>
      <c r="F20" s="4"/>
      <c r="G20" s="5"/>
      <c r="H20" s="5"/>
      <c r="I20" s="6" t="str">
        <f aca="false">IF(AND(ISNUMBER(C20),ISNUMBER(D20),E20="Sí"),(D20-C20)*24,"")</f>
        <v/>
      </c>
      <c r="J20" s="6" t="str">
        <f aca="false">IF(AND(F20="Sí",ISNUMBER(G20),ISNUMBER(H20)),(H20-G20)*24,"")</f>
        <v/>
      </c>
    </row>
    <row r="21" customFormat="false" ht="15" hidden="false" customHeight="false" outlineLevel="0" collapsed="false">
      <c r="A21" s="4"/>
      <c r="B21" s="4"/>
      <c r="C21" s="5"/>
      <c r="D21" s="5"/>
      <c r="E21" s="4"/>
      <c r="F21" s="4"/>
      <c r="G21" s="5"/>
      <c r="H21" s="5"/>
      <c r="I21" s="6" t="str">
        <f aca="false">IF(AND(ISNUMBER(C21),ISNUMBER(D21),E21="Sí"),(D21-C21)*24,"")</f>
        <v/>
      </c>
      <c r="J21" s="6" t="str">
        <f aca="false">IF(AND(F21="Sí",ISNUMBER(G21),ISNUMBER(H21)),(H21-G21)*24,"")</f>
        <v/>
      </c>
    </row>
    <row r="22" customFormat="false" ht="15" hidden="false" customHeight="false" outlineLevel="0" collapsed="false">
      <c r="A22" s="4"/>
      <c r="B22" s="4"/>
      <c r="C22" s="5"/>
      <c r="D22" s="5"/>
      <c r="E22" s="4"/>
      <c r="F22" s="4"/>
      <c r="G22" s="5"/>
      <c r="H22" s="5"/>
      <c r="I22" s="6" t="str">
        <f aca="false">IF(AND(ISNUMBER(C22),ISNUMBER(D22),E22="Sí"),(D22-C22)*24,"")</f>
        <v/>
      </c>
      <c r="J22" s="6" t="str">
        <f aca="false">IF(AND(F22="Sí",ISNUMBER(G22),ISNUMBER(H22)),(H22-G22)*24,"")</f>
        <v/>
      </c>
    </row>
    <row r="23" customFormat="false" ht="15" hidden="false" customHeight="false" outlineLevel="0" collapsed="false">
      <c r="A23" s="4"/>
      <c r="B23" s="4"/>
      <c r="C23" s="5"/>
      <c r="D23" s="5"/>
      <c r="E23" s="4"/>
      <c r="F23" s="4"/>
      <c r="G23" s="5"/>
      <c r="H23" s="5"/>
      <c r="I23" s="6" t="str">
        <f aca="false">IF(AND(ISNUMBER(C23),ISNUMBER(D23),E23="Sí"),(D23-C23)*24,"")</f>
        <v/>
      </c>
      <c r="J23" s="6" t="str">
        <f aca="false">IF(AND(F23="Sí",ISNUMBER(G23),ISNUMBER(H23)),(H23-G23)*24,"")</f>
        <v/>
      </c>
    </row>
    <row r="24" customFormat="false" ht="15" hidden="false" customHeight="false" outlineLevel="0" collapsed="false">
      <c r="A24" s="4"/>
      <c r="B24" s="4"/>
      <c r="C24" s="5"/>
      <c r="D24" s="5"/>
      <c r="E24" s="4"/>
      <c r="F24" s="4"/>
      <c r="G24" s="5"/>
      <c r="H24" s="5"/>
      <c r="I24" s="6" t="str">
        <f aca="false">IF(AND(ISNUMBER(C24),ISNUMBER(D24),E24="Sí"),(D24-C24)*24,"")</f>
        <v/>
      </c>
      <c r="J24" s="6" t="str">
        <f aca="false">IF(AND(F24="Sí",ISNUMBER(G24),ISNUMBER(H24)),(H24-G24)*24,"")</f>
        <v/>
      </c>
    </row>
    <row r="25" customFormat="false" ht="15" hidden="false" customHeight="false" outlineLevel="0" collapsed="false">
      <c r="A25" s="4"/>
      <c r="B25" s="4"/>
      <c r="C25" s="5"/>
      <c r="D25" s="5"/>
      <c r="E25" s="4"/>
      <c r="F25" s="4"/>
      <c r="G25" s="5"/>
      <c r="H25" s="5"/>
      <c r="I25" s="6" t="str">
        <f aca="false">IF(AND(ISNUMBER(C25),ISNUMBER(D25),E25="Sí"),(D25-C25)*24,"")</f>
        <v/>
      </c>
      <c r="J25" s="6" t="str">
        <f aca="false">IF(AND(F25="Sí",ISNUMBER(G25),ISNUMBER(H25)),(H25-G25)*24,"")</f>
        <v/>
      </c>
    </row>
    <row r="26" customFormat="false" ht="15" hidden="false" customHeight="false" outlineLevel="0" collapsed="false">
      <c r="A26" s="4"/>
      <c r="B26" s="4"/>
      <c r="C26" s="5"/>
      <c r="D26" s="5"/>
      <c r="E26" s="4"/>
      <c r="F26" s="4"/>
      <c r="G26" s="5"/>
      <c r="H26" s="5"/>
      <c r="I26" s="6" t="str">
        <f aca="false">IF(AND(ISNUMBER(C26),ISNUMBER(D26),E26="Sí"),(D26-C26)*24,"")</f>
        <v/>
      </c>
      <c r="J26" s="6" t="str">
        <f aca="false">IF(AND(F26="Sí",ISNUMBER(G26),ISNUMBER(H26)),(H26-G26)*24,"")</f>
        <v/>
      </c>
    </row>
    <row r="27" customFormat="false" ht="15" hidden="false" customHeight="false" outlineLevel="0" collapsed="false">
      <c r="A27" s="4"/>
      <c r="B27" s="4"/>
      <c r="C27" s="5"/>
      <c r="D27" s="5"/>
      <c r="E27" s="4"/>
      <c r="F27" s="4"/>
      <c r="G27" s="5"/>
      <c r="H27" s="5"/>
      <c r="I27" s="6" t="str">
        <f aca="false">IF(AND(ISNUMBER(C27),ISNUMBER(D27),E27="Sí"),(D27-C27)*24,"")</f>
        <v/>
      </c>
      <c r="J27" s="6" t="str">
        <f aca="false">IF(AND(F27="Sí",ISNUMBER(G27),ISNUMBER(H27)),(H27-G27)*24,"")</f>
        <v/>
      </c>
    </row>
    <row r="28" customFormat="false" ht="15" hidden="false" customHeight="false" outlineLevel="0" collapsed="false">
      <c r="A28" s="4"/>
      <c r="B28" s="4"/>
      <c r="C28" s="5"/>
      <c r="D28" s="5"/>
      <c r="E28" s="4"/>
      <c r="F28" s="4"/>
      <c r="G28" s="5"/>
      <c r="H28" s="5"/>
      <c r="I28" s="6" t="str">
        <f aca="false">IF(AND(ISNUMBER(C28),ISNUMBER(D28),E28="Sí"),(D28-C28)*24,"")</f>
        <v/>
      </c>
      <c r="J28" s="6" t="str">
        <f aca="false">IF(AND(F28="Sí",ISNUMBER(G28),ISNUMBER(H28)),(H28-G28)*24,"")</f>
        <v/>
      </c>
    </row>
    <row r="29" customFormat="false" ht="15" hidden="false" customHeight="false" outlineLevel="0" collapsed="false">
      <c r="A29" s="4"/>
      <c r="B29" s="4"/>
      <c r="C29" s="5"/>
      <c r="D29" s="5"/>
      <c r="E29" s="4"/>
      <c r="F29" s="4"/>
      <c r="G29" s="5"/>
      <c r="H29" s="5"/>
      <c r="I29" s="6" t="str">
        <f aca="false">IF(AND(ISNUMBER(C29),ISNUMBER(D29),E29="Sí"),(D29-C29)*24,"")</f>
        <v/>
      </c>
      <c r="J29" s="6" t="str">
        <f aca="false">IF(AND(F29="Sí",ISNUMBER(G29),ISNUMBER(H29)),(H29-G29)*24,"")</f>
        <v/>
      </c>
    </row>
    <row r="30" customFormat="false" ht="15" hidden="false" customHeight="false" outlineLevel="0" collapsed="false">
      <c r="A30" s="4"/>
      <c r="B30" s="4"/>
      <c r="C30" s="5"/>
      <c r="D30" s="5"/>
      <c r="E30" s="4"/>
      <c r="F30" s="4"/>
      <c r="G30" s="5"/>
      <c r="H30" s="5"/>
      <c r="I30" s="6" t="str">
        <f aca="false">IF(AND(ISNUMBER(C30),ISNUMBER(D30),E30="Sí"),(D30-C30)*24,"")</f>
        <v/>
      </c>
      <c r="J30" s="6" t="str">
        <f aca="false">IF(AND(F30="Sí",ISNUMBER(G30),ISNUMBER(H30)),(H30-G30)*24,"")</f>
        <v/>
      </c>
    </row>
    <row r="31" customFormat="false" ht="15" hidden="false" customHeight="false" outlineLevel="0" collapsed="false">
      <c r="A31" s="4"/>
      <c r="B31" s="4"/>
      <c r="C31" s="5"/>
      <c r="D31" s="5"/>
      <c r="E31" s="4"/>
      <c r="F31" s="4"/>
      <c r="G31" s="5"/>
      <c r="H31" s="5"/>
      <c r="I31" s="6" t="str">
        <f aca="false">IF(AND(ISNUMBER(C31),ISNUMBER(D31),E31="Sí"),(D31-C31)*24,"")</f>
        <v/>
      </c>
      <c r="J31" s="6" t="str">
        <f aca="false">IF(AND(F31="Sí",ISNUMBER(G31),ISNUMBER(H31)),(H31-G31)*24,"")</f>
        <v/>
      </c>
    </row>
    <row r="32" customFormat="false" ht="15" hidden="false" customHeight="false" outlineLevel="0" collapsed="false">
      <c r="A32" s="4"/>
      <c r="B32" s="4"/>
      <c r="C32" s="5"/>
      <c r="D32" s="5"/>
      <c r="E32" s="4"/>
      <c r="F32" s="4"/>
      <c r="G32" s="5"/>
      <c r="H32" s="5"/>
      <c r="I32" s="6" t="str">
        <f aca="false">IF(AND(ISNUMBER(C32),ISNUMBER(D32),E32="Sí"),(D32-C32)*24,"")</f>
        <v/>
      </c>
      <c r="J32" s="6" t="str">
        <f aca="false">IF(AND(F32="Sí",ISNUMBER(G32),ISNUMBER(H32)),(H32-G32)*24,"")</f>
        <v/>
      </c>
    </row>
    <row r="33" customFormat="false" ht="15" hidden="false" customHeight="false" outlineLevel="0" collapsed="false">
      <c r="A33" s="4"/>
      <c r="B33" s="4"/>
      <c r="C33" s="5"/>
      <c r="D33" s="5"/>
      <c r="E33" s="4"/>
      <c r="F33" s="4"/>
      <c r="G33" s="5"/>
      <c r="H33" s="5"/>
      <c r="I33" s="6" t="str">
        <f aca="false">IF(AND(ISNUMBER(C33),ISNUMBER(D33),E33="Sí"),(D33-C33)*24,"")</f>
        <v/>
      </c>
      <c r="J33" s="6" t="str">
        <f aca="false">IF(AND(F33="Sí",ISNUMBER(G33),ISNUMBER(H33)),(H33-G33)*24,"")</f>
        <v/>
      </c>
    </row>
    <row r="34" customFormat="false" ht="15" hidden="false" customHeight="false" outlineLevel="0" collapsed="false">
      <c r="A34" s="4"/>
      <c r="B34" s="4"/>
      <c r="C34" s="5"/>
      <c r="D34" s="5"/>
      <c r="E34" s="4"/>
      <c r="F34" s="4"/>
      <c r="G34" s="5"/>
      <c r="H34" s="5"/>
      <c r="I34" s="6" t="str">
        <f aca="false">IF(AND(ISNUMBER(C34),ISNUMBER(D34),E34="Sí"),(D34-C34)*24,"")</f>
        <v/>
      </c>
      <c r="J34" s="6" t="str">
        <f aca="false">IF(AND(F34="Sí",ISNUMBER(G34),ISNUMBER(H34)),(H34-G34)*24,"")</f>
        <v/>
      </c>
    </row>
    <row r="35" customFormat="false" ht="15" hidden="false" customHeight="false" outlineLevel="0" collapsed="false">
      <c r="A35" s="4"/>
      <c r="B35" s="4"/>
      <c r="C35" s="5"/>
      <c r="D35" s="5"/>
      <c r="E35" s="4"/>
      <c r="F35" s="4"/>
      <c r="G35" s="5"/>
      <c r="H35" s="5"/>
      <c r="I35" s="6" t="str">
        <f aca="false">IF(AND(ISNUMBER(C35),ISNUMBER(D35),E35="Sí"),(D35-C35)*24,"")</f>
        <v/>
      </c>
      <c r="J35" s="6" t="str">
        <f aca="false">IF(AND(F35="Sí",ISNUMBER(G35),ISNUMBER(H35)),(H35-G35)*24,"")</f>
        <v/>
      </c>
    </row>
    <row r="36" customFormat="false" ht="15" hidden="false" customHeight="false" outlineLevel="0" collapsed="false">
      <c r="A36" s="4"/>
      <c r="B36" s="4"/>
      <c r="C36" s="5"/>
      <c r="D36" s="5"/>
      <c r="E36" s="4"/>
      <c r="F36" s="4"/>
      <c r="G36" s="5"/>
      <c r="H36" s="5"/>
      <c r="I36" s="6" t="str">
        <f aca="false">IF(AND(ISNUMBER(C36),ISNUMBER(D36),E36="Sí"),(D36-C36)*24,"")</f>
        <v/>
      </c>
      <c r="J36" s="6" t="str">
        <f aca="false">IF(AND(F36="Sí",ISNUMBER(G36),ISNUMBER(H36)),(H36-G36)*24,"")</f>
        <v/>
      </c>
    </row>
    <row r="37" customFormat="false" ht="15" hidden="false" customHeight="false" outlineLevel="0" collapsed="false">
      <c r="A37" s="4"/>
      <c r="B37" s="4"/>
      <c r="C37" s="5"/>
      <c r="D37" s="5"/>
      <c r="E37" s="4"/>
      <c r="F37" s="4"/>
      <c r="G37" s="5"/>
      <c r="H37" s="5"/>
      <c r="I37" s="6" t="str">
        <f aca="false">IF(AND(ISNUMBER(C37),ISNUMBER(D37),E37="Sí"),(D37-C37)*24,"")</f>
        <v/>
      </c>
      <c r="J37" s="6" t="str">
        <f aca="false">IF(AND(F37="Sí",ISNUMBER(G37),ISNUMBER(H37)),(H37-G37)*24,"")</f>
        <v/>
      </c>
    </row>
    <row r="38" customFormat="false" ht="15" hidden="false" customHeight="false" outlineLevel="0" collapsed="false">
      <c r="A38" s="4"/>
      <c r="B38" s="4"/>
      <c r="C38" s="5"/>
      <c r="D38" s="5"/>
      <c r="E38" s="4"/>
      <c r="F38" s="4"/>
      <c r="G38" s="5"/>
      <c r="H38" s="5"/>
      <c r="I38" s="6" t="str">
        <f aca="false">IF(AND(ISNUMBER(C38),ISNUMBER(D38),E38="Sí"),(D38-C38)*24,"")</f>
        <v/>
      </c>
      <c r="J38" s="6" t="str">
        <f aca="false">IF(AND(F38="Sí",ISNUMBER(G38),ISNUMBER(H38)),(H38-G38)*24,"")</f>
        <v/>
      </c>
    </row>
    <row r="39" customFormat="false" ht="15" hidden="false" customHeight="false" outlineLevel="0" collapsed="false">
      <c r="A39" s="4"/>
      <c r="B39" s="4"/>
      <c r="C39" s="5"/>
      <c r="D39" s="5"/>
      <c r="E39" s="4"/>
      <c r="F39" s="4"/>
      <c r="G39" s="5"/>
      <c r="H39" s="5"/>
      <c r="I39" s="6" t="str">
        <f aca="false">IF(AND(ISNUMBER(C39),ISNUMBER(D39),E39="Sí"),(D39-C39)*24,"")</f>
        <v/>
      </c>
      <c r="J39" s="6" t="str">
        <f aca="false">IF(AND(F39="Sí",ISNUMBER(G39),ISNUMBER(H39)),(H39-G39)*24,"")</f>
        <v/>
      </c>
    </row>
    <row r="40" customFormat="false" ht="15" hidden="false" customHeight="false" outlineLevel="0" collapsed="false">
      <c r="A40" s="4"/>
      <c r="B40" s="4"/>
      <c r="C40" s="5"/>
      <c r="D40" s="5"/>
      <c r="E40" s="4"/>
      <c r="F40" s="4"/>
      <c r="G40" s="5"/>
      <c r="H40" s="5"/>
      <c r="I40" s="6" t="str">
        <f aca="false">IF(AND(ISNUMBER(C40),ISNUMBER(D40),E40="Sí"),(D40-C40)*24,"")</f>
        <v/>
      </c>
      <c r="J40" s="6" t="str">
        <f aca="false">IF(AND(F40="Sí",ISNUMBER(G40),ISNUMBER(H40)),(H40-G40)*24,"")</f>
        <v/>
      </c>
    </row>
    <row r="41" customFormat="false" ht="15" hidden="false" customHeight="false" outlineLevel="0" collapsed="false">
      <c r="A41" s="4"/>
      <c r="B41" s="4"/>
      <c r="C41" s="5"/>
      <c r="D41" s="5"/>
      <c r="E41" s="4"/>
      <c r="F41" s="4"/>
      <c r="G41" s="5"/>
      <c r="H41" s="5"/>
      <c r="I41" s="6" t="str">
        <f aca="false">IF(AND(ISNUMBER(C41),ISNUMBER(D41),E41="Sí"),(D41-C41)*24,"")</f>
        <v/>
      </c>
      <c r="J41" s="6" t="str">
        <f aca="false">IF(AND(F41="Sí",ISNUMBER(G41),ISNUMBER(H41)),(H41-G41)*24,"")</f>
        <v/>
      </c>
    </row>
    <row r="42" customFormat="false" ht="15" hidden="false" customHeight="false" outlineLevel="0" collapsed="false">
      <c r="A42" s="4"/>
      <c r="B42" s="4"/>
      <c r="C42" s="5"/>
      <c r="D42" s="5"/>
      <c r="E42" s="4"/>
      <c r="F42" s="4"/>
      <c r="G42" s="5"/>
      <c r="H42" s="5"/>
      <c r="I42" s="6" t="str">
        <f aca="false">IF(AND(ISNUMBER(C42),ISNUMBER(D42),E42="Sí"),(D42-C42)*24,"")</f>
        <v/>
      </c>
      <c r="J42" s="6" t="str">
        <f aca="false">IF(AND(F42="Sí",ISNUMBER(G42),ISNUMBER(H42)),(H42-G42)*24,"")</f>
        <v/>
      </c>
    </row>
    <row r="43" customFormat="false" ht="15" hidden="false" customHeight="false" outlineLevel="0" collapsed="false">
      <c r="A43" s="4"/>
      <c r="B43" s="4"/>
      <c r="C43" s="5"/>
      <c r="D43" s="5"/>
      <c r="E43" s="4"/>
      <c r="F43" s="4"/>
      <c r="G43" s="5"/>
      <c r="H43" s="5"/>
      <c r="I43" s="6" t="str">
        <f aca="false">IF(AND(ISNUMBER(C43),ISNUMBER(D43),E43="Sí"),(D43-C43)*24,"")</f>
        <v/>
      </c>
      <c r="J43" s="6" t="str">
        <f aca="false">IF(AND(F43="Sí",ISNUMBER(G43),ISNUMBER(H43)),(H43-G43)*24,"")</f>
        <v/>
      </c>
    </row>
    <row r="44" customFormat="false" ht="15" hidden="false" customHeight="false" outlineLevel="0" collapsed="false">
      <c r="A44" s="4"/>
      <c r="B44" s="4"/>
      <c r="C44" s="5"/>
      <c r="D44" s="5"/>
      <c r="E44" s="4"/>
      <c r="F44" s="4"/>
      <c r="G44" s="5"/>
      <c r="H44" s="5"/>
      <c r="I44" s="6" t="str">
        <f aca="false">IF(AND(ISNUMBER(C44),ISNUMBER(D44),E44="Sí"),(D44-C44)*24,"")</f>
        <v/>
      </c>
      <c r="J44" s="6" t="str">
        <f aca="false">IF(AND(F44="Sí",ISNUMBER(G44),ISNUMBER(H44)),(H44-G44)*24,"")</f>
        <v/>
      </c>
    </row>
    <row r="45" customFormat="false" ht="15" hidden="false" customHeight="false" outlineLevel="0" collapsed="false">
      <c r="A45" s="4"/>
      <c r="B45" s="4"/>
      <c r="C45" s="5"/>
      <c r="D45" s="5"/>
      <c r="E45" s="4"/>
      <c r="F45" s="4"/>
      <c r="G45" s="5"/>
      <c r="H45" s="5"/>
      <c r="I45" s="6" t="str">
        <f aca="false">IF(AND(ISNUMBER(C45),ISNUMBER(D45),E45="Sí"),(D45-C45)*24,"")</f>
        <v/>
      </c>
      <c r="J45" s="6" t="str">
        <f aca="false">IF(AND(F45="Sí",ISNUMBER(G45),ISNUMBER(H45)),(H45-G45)*24,"")</f>
        <v/>
      </c>
    </row>
    <row r="46" customFormat="false" ht="15" hidden="false" customHeight="false" outlineLevel="0" collapsed="false">
      <c r="A46" s="4"/>
      <c r="B46" s="4"/>
      <c r="C46" s="5"/>
      <c r="D46" s="5"/>
      <c r="E46" s="4"/>
      <c r="F46" s="4"/>
      <c r="G46" s="5"/>
      <c r="H46" s="5"/>
      <c r="I46" s="6" t="str">
        <f aca="false">IF(AND(ISNUMBER(C46),ISNUMBER(D46),E46="Sí"),(D46-C46)*24,"")</f>
        <v/>
      </c>
      <c r="J46" s="6" t="str">
        <f aca="false">IF(AND(F46="Sí",ISNUMBER(G46),ISNUMBER(H46)),(H46-G46)*24,"")</f>
        <v/>
      </c>
    </row>
    <row r="47" customFormat="false" ht="15" hidden="false" customHeight="false" outlineLevel="0" collapsed="false">
      <c r="A47" s="4"/>
      <c r="B47" s="4"/>
      <c r="C47" s="5"/>
      <c r="D47" s="5"/>
      <c r="E47" s="4"/>
      <c r="F47" s="4"/>
      <c r="G47" s="5"/>
      <c r="H47" s="5"/>
      <c r="I47" s="6" t="str">
        <f aca="false">IF(AND(ISNUMBER(C47),ISNUMBER(D47),E47="Sí"),(D47-C47)*24,"")</f>
        <v/>
      </c>
      <c r="J47" s="6" t="str">
        <f aca="false">IF(AND(F47="Sí",ISNUMBER(G47),ISNUMBER(H47)),(H47-G47)*24,"")</f>
        <v/>
      </c>
    </row>
    <row r="48" customFormat="false" ht="15" hidden="false" customHeight="false" outlineLevel="0" collapsed="false">
      <c r="A48" s="4"/>
      <c r="B48" s="4"/>
      <c r="C48" s="5"/>
      <c r="D48" s="5"/>
      <c r="E48" s="4"/>
      <c r="F48" s="4"/>
      <c r="G48" s="5"/>
      <c r="H48" s="5"/>
      <c r="I48" s="6" t="str">
        <f aca="false">IF(AND(ISNUMBER(C48),ISNUMBER(D48),E48="Sí"),(D48-C48)*24,"")</f>
        <v/>
      </c>
      <c r="J48" s="6" t="str">
        <f aca="false">IF(AND(F48="Sí",ISNUMBER(G48),ISNUMBER(H48)),(H48-G48)*24,"")</f>
        <v/>
      </c>
    </row>
    <row r="49" customFormat="false" ht="15" hidden="false" customHeight="false" outlineLevel="0" collapsed="false">
      <c r="A49" s="4"/>
      <c r="B49" s="4"/>
      <c r="C49" s="5"/>
      <c r="D49" s="5"/>
      <c r="E49" s="4"/>
      <c r="F49" s="4"/>
      <c r="G49" s="5"/>
      <c r="H49" s="5"/>
      <c r="I49" s="6" t="str">
        <f aca="false">IF(AND(ISNUMBER(C49),ISNUMBER(D49),E49="Sí"),(D49-C49)*24,"")</f>
        <v/>
      </c>
      <c r="J49" s="6" t="str">
        <f aca="false">IF(AND(F49="Sí",ISNUMBER(G49),ISNUMBER(H49)),(H49-G49)*24,"")</f>
        <v/>
      </c>
    </row>
    <row r="50" customFormat="false" ht="15" hidden="false" customHeight="false" outlineLevel="0" collapsed="false">
      <c r="A50" s="4"/>
      <c r="B50" s="4"/>
      <c r="C50" s="5"/>
      <c r="D50" s="5"/>
      <c r="E50" s="4"/>
      <c r="F50" s="4"/>
      <c r="G50" s="5"/>
      <c r="H50" s="5"/>
      <c r="I50" s="6" t="str">
        <f aca="false">IF(AND(ISNUMBER(C50),ISNUMBER(D50),E50="Sí"),(D50-C50)*24,"")</f>
        <v/>
      </c>
      <c r="J50" s="6" t="str">
        <f aca="false">IF(AND(F50="Sí",ISNUMBER(G50),ISNUMBER(H50)),(H50-G50)*24,"")</f>
        <v/>
      </c>
    </row>
    <row r="51" customFormat="false" ht="15" hidden="false" customHeight="false" outlineLevel="0" collapsed="false">
      <c r="A51" s="4"/>
      <c r="B51" s="4"/>
      <c r="C51" s="5"/>
      <c r="D51" s="5"/>
      <c r="E51" s="4"/>
      <c r="F51" s="4"/>
      <c r="G51" s="5"/>
      <c r="H51" s="5"/>
      <c r="I51" s="6" t="str">
        <f aca="false">IF(AND(ISNUMBER(C51),ISNUMBER(D51),E51="Sí"),(D51-C51)*24,"")</f>
        <v/>
      </c>
      <c r="J51" s="6" t="str">
        <f aca="false">IF(AND(F51="Sí",ISNUMBER(G51),ISNUMBER(H51)),(H51-G51)*24,"")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7" t="s">
        <v>18</v>
      </c>
      <c r="B1" s="8" t="n">
        <v>46301</v>
      </c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7" t="s">
        <v>19</v>
      </c>
      <c r="B2" s="8" t="n">
        <v>46321</v>
      </c>
      <c r="C2" s="7"/>
      <c r="D2" s="7"/>
      <c r="E2" s="7"/>
      <c r="F2" s="7"/>
      <c r="G2" s="7"/>
      <c r="H2" s="7"/>
      <c r="I2" s="7"/>
      <c r="J2" s="7"/>
    </row>
    <row r="3" customFormat="false" ht="15" hidden="false" customHeight="false" outlineLevel="0" collapsed="false">
      <c r="A3" s="7" t="s">
        <v>20</v>
      </c>
      <c r="B3" s="6" t="n">
        <f aca="false">(B2-B1)/7</f>
        <v>2.85714285714286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7" t="s">
        <v>21</v>
      </c>
      <c r="B4" s="7" t="n">
        <f aca="false">COUNT('Ejemplo registro'!D2:D51)</f>
        <v>3</v>
      </c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 t="s">
        <v>22</v>
      </c>
      <c r="B5" s="7" t="n">
        <f aca="false">COUNTIFS('Ejemplo registro'!D2:D51,"&gt;0",'Ejemplo registro'!E2:E51,"Sí")</f>
        <v>3</v>
      </c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 t="s">
        <v>23</v>
      </c>
      <c r="B6" s="7" t="n">
        <f aca="false">COUNTIFS('Ejemplo registro'!D2:D51,"&gt;0",'Ejemplo registro'!F2:F51,"Sí")</f>
        <v>1</v>
      </c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</row>
    <row r="9" customFormat="false" ht="26.85" hidden="false" customHeight="false" outlineLevel="0" collapsed="false">
      <c r="A9" s="9" t="s">
        <v>34</v>
      </c>
      <c r="B9" s="9" t="s">
        <v>35</v>
      </c>
      <c r="C9" s="9" t="s">
        <v>36</v>
      </c>
      <c r="D9" s="9" t="str">
        <f aca="false">TEXT($B$1,"yyyy-mm-dd")&amp;" a "&amp;TEXT($B$2,"yyyy-mm-dd")</f>
        <v>2026-10-06 a 2026-10-26</v>
      </c>
      <c r="E9" s="10" t="n">
        <f aca="false">IF($B$4=0,"—",$B$5/$B$3)</f>
        <v>1.05</v>
      </c>
      <c r="F9" s="9" t="s">
        <v>37</v>
      </c>
      <c r="G9" s="9" t="s">
        <v>38</v>
      </c>
      <c r="H9" s="9" t="str">
        <f aca="false">IF($B$4=0,"Sin despliegues medidos","Medido")</f>
        <v>Medido</v>
      </c>
      <c r="I9" s="9" t="s">
        <v>39</v>
      </c>
      <c r="J9" s="9" t="s">
        <v>40</v>
      </c>
    </row>
    <row r="10" customFormat="false" ht="26.85" hidden="false" customHeight="false" outlineLevel="0" collapsed="false">
      <c r="A10" s="9" t="s">
        <v>41</v>
      </c>
      <c r="B10" s="9" t="s">
        <v>42</v>
      </c>
      <c r="C10" s="9" t="s">
        <v>43</v>
      </c>
      <c r="D10" s="9" t="str">
        <f aca="false">TEXT($B$1,"yyyy-mm-dd")&amp;" a "&amp;TEXT($B$2,"yyyy-mm-dd")</f>
        <v>2026-10-06 a 2026-10-26</v>
      </c>
      <c r="E10" s="10" t="n">
        <f aca="false">IF(COUNT('Ejemplo registro'!I2:I51)=0,"—",AVERAGE('Ejemplo registro'!I2:I51))</f>
        <v>60.3333333331781</v>
      </c>
      <c r="F10" s="9" t="s">
        <v>44</v>
      </c>
      <c r="G10" s="9" t="s">
        <v>45</v>
      </c>
      <c r="H10" s="9" t="str">
        <f aca="false">IF($B$4=0,"Sin despliegues medidos",IF(COUNT('Ejemplo registro'!I2:I51)=0,"Datos insuficientes","Medido"))</f>
        <v>Medido</v>
      </c>
      <c r="I10" s="9" t="s">
        <v>46</v>
      </c>
      <c r="J10" s="9" t="s">
        <v>47</v>
      </c>
    </row>
    <row r="11" customFormat="false" ht="39.55" hidden="false" customHeight="false" outlineLevel="0" collapsed="false">
      <c r="A11" s="9" t="s">
        <v>48</v>
      </c>
      <c r="B11" s="9" t="s">
        <v>49</v>
      </c>
      <c r="C11" s="9" t="s">
        <v>50</v>
      </c>
      <c r="D11" s="9" t="str">
        <f aca="false">TEXT($B$1,"yyyy-mm-dd")&amp;" a "&amp;TEXT($B$2,"yyyy-mm-dd")</f>
        <v>2026-10-06 a 2026-10-26</v>
      </c>
      <c r="E11" s="10" t="n">
        <f aca="false">IF($B$4=0,"—",$B$6/$B$4*100)</f>
        <v>33.3333333333333</v>
      </c>
      <c r="F11" s="9" t="s">
        <v>51</v>
      </c>
      <c r="G11" s="9" t="s">
        <v>52</v>
      </c>
      <c r="H11" s="9" t="str">
        <f aca="false">IF($B$4=0,"Sin despliegues medidos","Medido")</f>
        <v>Medido</v>
      </c>
      <c r="I11" s="9" t="s">
        <v>53</v>
      </c>
      <c r="J11" s="9" t="s">
        <v>54</v>
      </c>
    </row>
    <row r="12" customFormat="false" ht="26.85" hidden="false" customHeight="false" outlineLevel="0" collapsed="false">
      <c r="A12" s="9" t="s">
        <v>55</v>
      </c>
      <c r="B12" s="9" t="s">
        <v>56</v>
      </c>
      <c r="C12" s="9" t="s">
        <v>57</v>
      </c>
      <c r="D12" s="9" t="str">
        <f aca="false">TEXT($B$1,"yyyy-mm-dd")&amp;" a "&amp;TEXT($B$2,"yyyy-mm-dd")</f>
        <v>2026-10-06 a 2026-10-26</v>
      </c>
      <c r="E12" s="10" t="n">
        <f aca="false">IF(COUNT('Ejemplo registro'!J2:J51)=0,"—",AVERAGE('Ejemplo registro'!J2:J51))</f>
        <v>3.5</v>
      </c>
      <c r="F12" s="9" t="s">
        <v>44</v>
      </c>
      <c r="G12" s="9" t="s">
        <v>58</v>
      </c>
      <c r="H12" s="9" t="str">
        <f aca="false">IF($B$4=0,"Sin despliegues medidos",IF(COUNT('Ejemplo registro'!J2:J51)=0,"Sin fallos registrados","Medido"))</f>
        <v>Medido</v>
      </c>
      <c r="I12" s="9" t="s">
        <v>59</v>
      </c>
      <c r="J12" s="9" t="s">
        <v>60</v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11" t="s">
        <v>69</v>
      </c>
      <c r="B14" s="7"/>
      <c r="C14" s="7"/>
      <c r="D14" s="7"/>
      <c r="E14" s="7"/>
      <c r="F14" s="7"/>
      <c r="G14" s="7"/>
      <c r="H14" s="7"/>
      <c r="I14" s="7"/>
      <c r="J1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2026-10-27T20:38:53Z</dcterms:created>
  <dc:creator>openpyxl</dc:creator>
  <dc:description/>
  <dc:language>en-US</dc:language>
  <cp:lastModifiedBy/>
  <dcterms:modified xsi:type="dcterms:W3CDTF">2026-10-27T20:38:53Z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