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Resumen" sheetId="2" state="visible" r:id="rId4"/>
    <sheet name="Sprint_1" sheetId="3" state="visible" r:id="rId5"/>
    <sheet name="Sprint_2" sheetId="4" state="visible" r:id="rId6"/>
    <sheet name="Sprint_3" sheetId="5" state="visible" r:id="rId7"/>
    <sheet name="Proyecto" sheetId="6" state="visible" r:id="rId8"/>
    <sheet name="Histori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<sst xmlns="http://schemas.openxmlformats.org/spreadsheetml/2006/main" count="207" uniqueCount="110">
  <si>
    <t xml:space="preserve">Radar de permanencia · Seguimiento del burndown</t>
  </si>
  <si>
    <t xml:space="preserve">Cómo usar: en cada hoja de sprint, escriba en las celdas AMARILLAS los puntos aceptados ACUMULADOS en la fecha (solo historias que cumplen la Definition of Done y fueron revisadas por otro integrante).</t>
  </si>
  <si>
    <t xml:space="preserve">Deje en blanco los días sin registro: el trabajo restante real solo se calcula donde hay dato; nunca se inventa.</t>
  </si>
  <si>
    <t xml:space="preserve">Texto azul = dato ingresado. Texto negro = fórmula. No edite las columnas de fórmula.</t>
  </si>
  <si>
    <t xml:space="preserve">Trabajo restante = puntos comprometidos − puntos aceptados.  Línea ideal: lineal en días hábiles, de los puntos comprometidos a 0.</t>
  </si>
  <si>
    <t xml:space="preserve">Datos precargados: Jira SCRUM, 27-oct-2026: hasta esa fecha ninguna historia había cambiado de estado; tras actualizar el tablero, Sprint 1 (22 pts) y Sprint 2 (21 pts) en Finalizado.</t>
  </si>
  <si>
    <t xml:space="preserve">Cronograma oficial: documento técnico, sección 15.2. Sprint 0 (21-sep a 5-oct) no tiene puntos. Backlog condicionado HU-05 y HU-10 (6 pts) no se compromete.</t>
  </si>
  <si>
    <t xml:space="preserve">Festivos de Colombia no descontados (2-nov y 16-nov de 2026 son festivos): ajústelos si el equipo no trabaja esos días.</t>
  </si>
  <si>
    <t xml:space="preserve">Sprint</t>
  </si>
  <si>
    <t xml:space="preserve">Inicio</t>
  </si>
  <si>
    <t xml:space="preserve">Fin</t>
  </si>
  <si>
    <t xml:space="preserve">Puntos comprometidos</t>
  </si>
  <si>
    <t xml:space="preserve">Puntos aceptados (último registro)</t>
  </si>
  <si>
    <t xml:space="preserve">Puntos pendientes</t>
  </si>
  <si>
    <t xml:space="preserve">Variación vs. ideal (pts)</t>
  </si>
  <si>
    <t xml:space="preserve">Estado</t>
  </si>
  <si>
    <t xml:space="preserve">Sprint 1</t>
  </si>
  <si>
    <t xml:space="preserve">2026-10-06</t>
  </si>
  <si>
    <t xml:space="preserve">2026-10-19</t>
  </si>
  <si>
    <t xml:space="preserve">Sprint 2</t>
  </si>
  <si>
    <t xml:space="preserve">2026-10-20</t>
  </si>
  <si>
    <t xml:space="preserve">2026-11-02</t>
  </si>
  <si>
    <t xml:space="preserve">Sprint 3</t>
  </si>
  <si>
    <t xml:space="preserve">2026-11-03</t>
  </si>
  <si>
    <t xml:space="preserve">2026-11-16</t>
  </si>
  <si>
    <t xml:space="preserve">Proyecto (Sprints 1 a 3)</t>
  </si>
  <si>
    <t xml:space="preserve">Backlog condicionado (HU-05, HU-10)</t>
  </si>
  <si>
    <t xml:space="preserve">No comprometido</t>
  </si>
  <si>
    <t xml:space="preserve">Variación = aceptados − puntos que la línea ideal esperaba completados en la fecha del último registro. Negativo = atrasado.</t>
  </si>
  <si>
    <t xml:space="preserve">Fuente: documento técnico, sec. 15.2</t>
  </si>
  <si>
    <t xml:space="preserve">Período: 2026-10-06 a 2026-10-19 (días hábiles)</t>
  </si>
  <si>
    <t xml:space="preserve">Fecha</t>
  </si>
  <si>
    <t xml:space="preserve">Línea ideal (pts pendientes)</t>
  </si>
  <si>
    <t xml:space="preserve">Puntos aceptados acumulados (ingresar)</t>
  </si>
  <si>
    <t xml:space="preserve">Trabajo restante real</t>
  </si>
  <si>
    <t xml:space="preserve">Fuente del registro</t>
  </si>
  <si>
    <t xml:space="preserve">Jira SCRUM, 27-oct-2026: hasta esa fecha ninguna historia había cambiado de estado; tras actualizar el tablero, Sprint 1 (22 pts) y Sprint 2 (21 pts) en Finalizado</t>
  </si>
  <si>
    <t xml:space="preserve">El gráfico de esta hoja muestra la línea ideal; la línea real con sus registros está en burndown_*.png y en el prototipo (Seguimiento › Burndown). Las celdas vacías de «Trabajo restante real» indican días sin registro.</t>
  </si>
  <si>
    <t xml:space="preserve">Período: 2026-10-20 a 2026-11-02 (días hábiles)</t>
  </si>
  <si>
    <t xml:space="preserve">Período: 2026-11-03 a 2026-11-16 (días hábiles)</t>
  </si>
  <si>
    <t xml:space="preserve">Período: 2026-10-06 a 2026-11-16 (días hábiles)</t>
  </si>
  <si>
    <t xml:space="preserve">HU</t>
  </si>
  <si>
    <t xml:space="preserve">Historia</t>
  </si>
  <si>
    <t xml:space="preserve">Sprint (documento)</t>
  </si>
  <si>
    <t xml:space="preserve">Puntos</t>
  </si>
  <si>
    <t xml:space="preserve">Ítem Jira</t>
  </si>
  <si>
    <t xml:space="preserve">Sprint en Jira</t>
  </si>
  <si>
    <t xml:space="preserve">Estado en Jira (27-oct-2026, tras actualizar)</t>
  </si>
  <si>
    <t xml:space="preserve">Aceptada según DoD (Sí/No)</t>
  </si>
  <si>
    <t xml:space="preserve">HU-01</t>
  </si>
  <si>
    <t xml:space="preserve">Información unificada y confiable</t>
  </si>
  <si>
    <t xml:space="preserve">SCRUM-6</t>
  </si>
  <si>
    <t xml:space="preserve">Sprint 1 - Datos y panorama</t>
  </si>
  <si>
    <t xml:space="preserve">Finalizado</t>
  </si>
  <si>
    <t xml:space="preserve">Sí</t>
  </si>
  <si>
    <t xml:space="preserve">HU-02</t>
  </si>
  <si>
    <t xml:space="preserve">Definición única de renuncia temprana</t>
  </si>
  <si>
    <t xml:space="preserve">SCRUM-7</t>
  </si>
  <si>
    <t xml:space="preserve">HU-03</t>
  </si>
  <si>
    <t xml:space="preserve">Evolución de la rotación temprana</t>
  </si>
  <si>
    <t xml:space="preserve">SCRUM-8</t>
  </si>
  <si>
    <t xml:space="preserve">HU-04</t>
  </si>
  <si>
    <t xml:space="preserve">Mes crítico de renuncia</t>
  </si>
  <si>
    <t xml:space="preserve">SCRUM-53</t>
  </si>
  <si>
    <t xml:space="preserve">HU-06</t>
  </si>
  <si>
    <t xml:space="preserve">Filtrar el dashboard</t>
  </si>
  <si>
    <t xml:space="preserve">SCRUM-22</t>
  </si>
  <si>
    <t xml:space="preserve">HU-07</t>
  </si>
  <si>
    <t xml:space="preserve">Retención por supervisor</t>
  </si>
  <si>
    <t xml:space="preserve">SCRUM-10</t>
  </si>
  <si>
    <t xml:space="preserve">Sprint 2 - Causas</t>
  </si>
  <si>
    <t xml:space="preserve">HU-08</t>
  </si>
  <si>
    <t xml:space="preserve">Pruebas técnicas y permanencia</t>
  </si>
  <si>
    <t xml:space="preserve">SCRUM-9</t>
  </si>
  <si>
    <t xml:space="preserve">HU-09</t>
  </si>
  <si>
    <t xml:space="preserve">Perfiles con mayor rotación</t>
  </si>
  <si>
    <t xml:space="preserve">SCRUM-47</t>
  </si>
  <si>
    <t xml:space="preserve">HU-11</t>
  </si>
  <si>
    <t xml:space="preserve">Resumen de causas y recomendaciones</t>
  </si>
  <si>
    <t xml:space="preserve">SCRUM-23</t>
  </si>
  <si>
    <t xml:space="preserve">—</t>
  </si>
  <si>
    <t xml:space="preserve">Dataset del modelo (puntos derivados 21 − 16)</t>
  </si>
  <si>
    <t xml:space="preserve">SCRUM-54</t>
  </si>
  <si>
    <t xml:space="preserve">HU-12</t>
  </si>
  <si>
    <t xml:space="preserve">Semáforo de riesgo del candidato</t>
  </si>
  <si>
    <t xml:space="preserve">SCRUM-21</t>
  </si>
  <si>
    <t xml:space="preserve">SCRUM Sprint 3</t>
  </si>
  <si>
    <t xml:space="preserve">En revisión</t>
  </si>
  <si>
    <t xml:space="preserve">No</t>
  </si>
  <si>
    <t xml:space="preserve">HU-13</t>
  </si>
  <si>
    <t xml:space="preserve">Explicación del riesgo</t>
  </si>
  <si>
    <t xml:space="preserve">SCRUM-52</t>
  </si>
  <si>
    <t xml:space="preserve">HU-14</t>
  </si>
  <si>
    <t xml:space="preserve">Confiabilidad de la herramienta</t>
  </si>
  <si>
    <t xml:space="preserve">SCRUM-49</t>
  </si>
  <si>
    <t xml:space="preserve">HU-15</t>
  </si>
  <si>
    <t xml:space="preserve">Herramienta no discriminatoria</t>
  </si>
  <si>
    <t xml:space="preserve">SCRUM-50</t>
  </si>
  <si>
    <t xml:space="preserve">HU-16</t>
  </si>
  <si>
    <t xml:space="preserve">Protección de datos personales</t>
  </si>
  <si>
    <t xml:space="preserve">SCRUM-51</t>
  </si>
  <si>
    <t xml:space="preserve">HU-05</t>
  </si>
  <si>
    <t xml:space="preserve">Costo de la rotación temprana</t>
  </si>
  <si>
    <t xml:space="preserve">Backlog condicionado</t>
  </si>
  <si>
    <t xml:space="preserve">SCRUM-46</t>
  </si>
  <si>
    <t xml:space="preserve">HU-10</t>
  </si>
  <si>
    <t xml:space="preserve">Motivos declarados de renuncia</t>
  </si>
  <si>
    <t xml:space="preserve">SCRUM-48</t>
  </si>
  <si>
    <t xml:space="preserve">Total comprometido Sprints 1-3</t>
  </si>
  <si>
    <t xml:space="preserve">Aceptados (Sí)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</si>
</sst>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48595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D5C63"/>
        <bgColor rgb="FF48595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3C0"/>
      </left>
      <right style="thin">
        <color rgb="FFB9C3C0"/>
      </right>
      <top style="thin">
        <color rgb="FFB9C3C0"/>
      </top>
      <bottom style="thin">
        <color rgb="FFB9C3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5C63"/>
      <rgbColor rgb="FFB9C3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7C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85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·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Sprint_1!B5</c:f>
              <c:strCache>
                <c:ptCount val="1"/>
                <c:pt idx="0">
                  <c:v>Línea ideal (pts pendientes)</c:v>
                </c:pt>
              </c:strCache>
            </c:strRef>
          </c:tx>
          <c:spPr>
            <a:solidFill>
              <a:srgbClr val="6d7c79"/>
            </a:solidFill>
            <a:ln w="28440">
              <a:solidFill>
                <a:srgbClr val="6d7c7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Sprint_1!$A$6:$A$15</c:f>
              <c:strCache>
                <c:ptCount val="10"/>
                <c:pt idx="0">
                  <c:v>2026-10-06</c:v>
                </c:pt>
                <c:pt idx="1">
                  <c:v>2026-10-07</c:v>
                </c:pt>
                <c:pt idx="2">
                  <c:v>2026-10-08</c:v>
                </c:pt>
                <c:pt idx="3">
                  <c:v>2026-10-09</c:v>
                </c:pt>
                <c:pt idx="4">
                  <c:v>2026-10-12</c:v>
                </c:pt>
                <c:pt idx="5">
                  <c:v>2026-10-13</c:v>
                </c:pt>
                <c:pt idx="6">
                  <c:v>2026-10-14</c:v>
                </c:pt>
                <c:pt idx="7">
                  <c:v>2026-10-15</c:v>
                </c:pt>
                <c:pt idx="8">
                  <c:v>2026-10-16</c:v>
                </c:pt>
                <c:pt idx="9">
                  <c:v>2026-10-19</c:v>
                </c:pt>
              </c:strCache>
            </c:strRef>
          </c:cat>
          <c:val>
            <c:numRef>
              <c:f>Sprint_1!$B$6:$B$15</c:f>
              <c:numCache>
                <c:formatCode>General</c:formatCode>
                <c:ptCount val="10"/>
                <c:pt idx="0">
                  <c:v>22</c:v>
                </c:pt>
                <c:pt idx="1">
                  <c:v>19.56</c:v>
                </c:pt>
                <c:pt idx="2">
                  <c:v>17.11</c:v>
                </c:pt>
                <c:pt idx="3">
                  <c:v>14.67</c:v>
                </c:pt>
                <c:pt idx="4">
                  <c:v>12.22</c:v>
                </c:pt>
                <c:pt idx="5">
                  <c:v>9.78</c:v>
                </c:pt>
                <c:pt idx="6">
                  <c:v>7.33</c:v>
                </c:pt>
                <c:pt idx="7">
                  <c:v>4.89</c:v>
                </c:pt>
                <c:pt idx="8">
                  <c:v>2.44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916803"/>
        <c:axId val="98896579"/>
      </c:lineChart>
      <c:catAx>
        <c:axId val="799168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96579"/>
        <c:crosses val="autoZero"/>
        <c:auto val="1"/>
        <c:lblAlgn val="ctr"/>
        <c:lblOffset val="100"/>
        <c:noMultiLvlLbl val="0"/>
      </c:catAx>
      <c:valAx>
        <c:axId val="9889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16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·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Sprint_2!B5</c:f>
              <c:strCache>
                <c:ptCount val="1"/>
                <c:pt idx="0">
                  <c:v>Línea ideal (pts pendientes)</c:v>
                </c:pt>
              </c:strCache>
            </c:strRef>
          </c:tx>
          <c:spPr>
            <a:solidFill>
              <a:srgbClr val="6d7c79"/>
            </a:solidFill>
            <a:ln w="28440">
              <a:solidFill>
                <a:srgbClr val="6d7c7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Sprint_2!$A$6:$A$15</c:f>
              <c:strCache>
                <c:ptCount val="10"/>
                <c:pt idx="0">
                  <c:v>2026-10-20</c:v>
                </c:pt>
                <c:pt idx="1">
                  <c:v>2026-10-21</c:v>
                </c:pt>
                <c:pt idx="2">
                  <c:v>2026-10-22</c:v>
                </c:pt>
                <c:pt idx="3">
                  <c:v>2026-10-23</c:v>
                </c:pt>
                <c:pt idx="4">
                  <c:v>2026-10-26</c:v>
                </c:pt>
                <c:pt idx="5">
                  <c:v>2026-10-27</c:v>
                </c:pt>
                <c:pt idx="6">
                  <c:v>2026-10-28</c:v>
                </c:pt>
                <c:pt idx="7">
                  <c:v>2026-10-29</c:v>
                </c:pt>
                <c:pt idx="8">
                  <c:v>2026-10-30</c:v>
                </c:pt>
                <c:pt idx="9">
                  <c:v>2026-11-02</c:v>
                </c:pt>
              </c:strCache>
            </c:strRef>
          </c:cat>
          <c:val>
            <c:numRef>
              <c:f>Sprint_2!$B$6:$B$15</c:f>
              <c:numCache>
                <c:formatCode>General</c:formatCode>
                <c:ptCount val="10"/>
                <c:pt idx="0">
                  <c:v>21</c:v>
                </c:pt>
                <c:pt idx="1">
                  <c:v>18.67</c:v>
                </c:pt>
                <c:pt idx="2">
                  <c:v>16.33</c:v>
                </c:pt>
                <c:pt idx="3">
                  <c:v>14</c:v>
                </c:pt>
                <c:pt idx="4">
                  <c:v>11.67</c:v>
                </c:pt>
                <c:pt idx="5">
                  <c:v>9.33</c:v>
                </c:pt>
                <c:pt idx="6">
                  <c:v>7</c:v>
                </c:pt>
                <c:pt idx="7">
                  <c:v>4.67</c:v>
                </c:pt>
                <c:pt idx="8">
                  <c:v>2.33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318755"/>
        <c:axId val="55314174"/>
      </c:lineChart>
      <c:catAx>
        <c:axId val="423187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14174"/>
        <c:crosses val="autoZero"/>
        <c:auto val="1"/>
        <c:lblAlgn val="ctr"/>
        <c:lblOffset val="100"/>
        <c:noMultiLvlLbl val="0"/>
      </c:catAx>
      <c:valAx>
        <c:axId val="55314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187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·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Sprint_3!B5</c:f>
              <c:strCache>
                <c:ptCount val="1"/>
                <c:pt idx="0">
                  <c:v>Línea ideal (pts pendientes)</c:v>
                </c:pt>
              </c:strCache>
            </c:strRef>
          </c:tx>
          <c:spPr>
            <a:solidFill>
              <a:srgbClr val="6d7c79"/>
            </a:solidFill>
            <a:ln w="28440">
              <a:solidFill>
                <a:srgbClr val="6d7c7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Sprint_3!$A$6:$A$15</c:f>
              <c:strCache>
                <c:ptCount val="10"/>
                <c:pt idx="0">
                  <c:v>2026-11-03</c:v>
                </c:pt>
                <c:pt idx="1">
                  <c:v>2026-11-04</c:v>
                </c:pt>
                <c:pt idx="2">
                  <c:v>2026-11-05</c:v>
                </c:pt>
                <c:pt idx="3">
                  <c:v>2026-11-06</c:v>
                </c:pt>
                <c:pt idx="4">
                  <c:v>2026-11-09</c:v>
                </c:pt>
                <c:pt idx="5">
                  <c:v>2026-11-10</c:v>
                </c:pt>
                <c:pt idx="6">
                  <c:v>2026-11-11</c:v>
                </c:pt>
                <c:pt idx="7">
                  <c:v>2026-11-12</c:v>
                </c:pt>
                <c:pt idx="8">
                  <c:v>2026-11-13</c:v>
                </c:pt>
                <c:pt idx="9">
                  <c:v>2026-11-16</c:v>
                </c:pt>
              </c:strCache>
            </c:strRef>
          </c:cat>
          <c:val>
            <c:numRef>
              <c:f>Sprint_3!$B$6:$B$15</c:f>
              <c:numCache>
                <c:formatCode>General</c:formatCode>
                <c:ptCount val="10"/>
                <c:pt idx="0">
                  <c:v>26</c:v>
                </c:pt>
                <c:pt idx="1">
                  <c:v>23.11</c:v>
                </c:pt>
                <c:pt idx="2">
                  <c:v>20.22</c:v>
                </c:pt>
                <c:pt idx="3">
                  <c:v>17.33</c:v>
                </c:pt>
                <c:pt idx="4">
                  <c:v>14.44</c:v>
                </c:pt>
                <c:pt idx="5">
                  <c:v>11.56</c:v>
                </c:pt>
                <c:pt idx="6">
                  <c:v>8.67</c:v>
                </c:pt>
                <c:pt idx="7">
                  <c:v>5.78</c:v>
                </c:pt>
                <c:pt idx="8">
                  <c:v>2.89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988600"/>
        <c:axId val="88148885"/>
      </c:lineChart>
      <c:catAx>
        <c:axId val="40988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8885"/>
        <c:crosses val="autoZero"/>
        <c:auto val="1"/>
        <c:lblAlgn val="ctr"/>
        <c:lblOffset val="100"/>
        <c:noMultiLvlLbl val="0"/>
      </c:catAx>
      <c:valAx>
        <c:axId val="88148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88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· Proyecto (Sprints 1 a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Proyecto!B5</c:f>
              <c:strCache>
                <c:ptCount val="1"/>
                <c:pt idx="0">
                  <c:v>Línea ideal (pts pendientes)</c:v>
                </c:pt>
              </c:strCache>
            </c:strRef>
          </c:tx>
          <c:spPr>
            <a:solidFill>
              <a:srgbClr val="6d7c79"/>
            </a:solidFill>
            <a:ln w="28440">
              <a:solidFill>
                <a:srgbClr val="6d7c7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Proyecto!$A$6:$A$35</c:f>
              <c:strCache>
                <c:ptCount val="30"/>
                <c:pt idx="0">
                  <c:v>2026-10-06</c:v>
                </c:pt>
                <c:pt idx="1">
                  <c:v>2026-10-07</c:v>
                </c:pt>
                <c:pt idx="2">
                  <c:v>2026-10-08</c:v>
                </c:pt>
                <c:pt idx="3">
                  <c:v>2026-10-09</c:v>
                </c:pt>
                <c:pt idx="4">
                  <c:v>2026-10-12</c:v>
                </c:pt>
                <c:pt idx="5">
                  <c:v>2026-10-13</c:v>
                </c:pt>
                <c:pt idx="6">
                  <c:v>2026-10-14</c:v>
                </c:pt>
                <c:pt idx="7">
                  <c:v>2026-10-15</c:v>
                </c:pt>
                <c:pt idx="8">
                  <c:v>2026-10-16</c:v>
                </c:pt>
                <c:pt idx="9">
                  <c:v>2026-10-19</c:v>
                </c:pt>
                <c:pt idx="10">
                  <c:v>2026-10-20</c:v>
                </c:pt>
                <c:pt idx="11">
                  <c:v>2026-10-21</c:v>
                </c:pt>
                <c:pt idx="12">
                  <c:v>2026-10-22</c:v>
                </c:pt>
                <c:pt idx="13">
                  <c:v>2026-10-23</c:v>
                </c:pt>
                <c:pt idx="14">
                  <c:v>2026-10-26</c:v>
                </c:pt>
                <c:pt idx="15">
                  <c:v>2026-10-27</c:v>
                </c:pt>
                <c:pt idx="16">
                  <c:v>2026-10-28</c:v>
                </c:pt>
                <c:pt idx="17">
                  <c:v>2026-10-29</c:v>
                </c:pt>
                <c:pt idx="18">
                  <c:v>2026-10-30</c:v>
                </c:pt>
                <c:pt idx="19">
                  <c:v>2026-11-02</c:v>
                </c:pt>
                <c:pt idx="20">
                  <c:v>2026-11-03</c:v>
                </c:pt>
                <c:pt idx="21">
                  <c:v>2026-11-04</c:v>
                </c:pt>
                <c:pt idx="22">
                  <c:v>2026-11-05</c:v>
                </c:pt>
                <c:pt idx="23">
                  <c:v>2026-11-06</c:v>
                </c:pt>
                <c:pt idx="24">
                  <c:v>2026-11-09</c:v>
                </c:pt>
                <c:pt idx="25">
                  <c:v>2026-11-10</c:v>
                </c:pt>
                <c:pt idx="26">
                  <c:v>2026-11-11</c:v>
                </c:pt>
                <c:pt idx="27">
                  <c:v>2026-11-12</c:v>
                </c:pt>
                <c:pt idx="28">
                  <c:v>2026-11-13</c:v>
                </c:pt>
                <c:pt idx="29">
                  <c:v>2026-11-16</c:v>
                </c:pt>
              </c:strCache>
            </c:strRef>
          </c:cat>
          <c:val>
            <c:numRef>
              <c:f>Proyecto!$B$6:$B$35</c:f>
              <c:numCache>
                <c:formatCode>General</c:formatCode>
                <c:ptCount val="30"/>
                <c:pt idx="0">
                  <c:v>69</c:v>
                </c:pt>
                <c:pt idx="1">
                  <c:v>66.62</c:v>
                </c:pt>
                <c:pt idx="2">
                  <c:v>64.24</c:v>
                </c:pt>
                <c:pt idx="3">
                  <c:v>61.86</c:v>
                </c:pt>
                <c:pt idx="4">
                  <c:v>59.48</c:v>
                </c:pt>
                <c:pt idx="5">
                  <c:v>57.1</c:v>
                </c:pt>
                <c:pt idx="6">
                  <c:v>54.72</c:v>
                </c:pt>
                <c:pt idx="7">
                  <c:v>52.34</c:v>
                </c:pt>
                <c:pt idx="8">
                  <c:v>49.97</c:v>
                </c:pt>
                <c:pt idx="9">
                  <c:v>47.59</c:v>
                </c:pt>
                <c:pt idx="10">
                  <c:v>45.21</c:v>
                </c:pt>
                <c:pt idx="11">
                  <c:v>42.83</c:v>
                </c:pt>
                <c:pt idx="12">
                  <c:v>40.45</c:v>
                </c:pt>
                <c:pt idx="13">
                  <c:v>38.07</c:v>
                </c:pt>
                <c:pt idx="14">
                  <c:v>35.69</c:v>
                </c:pt>
                <c:pt idx="15">
                  <c:v>33.31</c:v>
                </c:pt>
                <c:pt idx="16">
                  <c:v>30.93</c:v>
                </c:pt>
                <c:pt idx="17">
                  <c:v>28.55</c:v>
                </c:pt>
                <c:pt idx="18">
                  <c:v>26.17</c:v>
                </c:pt>
                <c:pt idx="19">
                  <c:v>23.79</c:v>
                </c:pt>
                <c:pt idx="20">
                  <c:v>21.41</c:v>
                </c:pt>
                <c:pt idx="21">
                  <c:v>19.03</c:v>
                </c:pt>
                <c:pt idx="22">
                  <c:v>16.66</c:v>
                </c:pt>
                <c:pt idx="23">
                  <c:v>14.28</c:v>
                </c:pt>
                <c:pt idx="24">
                  <c:v>11.9</c:v>
                </c:pt>
                <c:pt idx="25">
                  <c:v>9.52</c:v>
                </c:pt>
                <c:pt idx="26">
                  <c:v>7.14</c:v>
                </c:pt>
                <c:pt idx="27">
                  <c:v>4.76</c:v>
                </c:pt>
                <c:pt idx="28">
                  <c:v>2.38</c:v>
                </c:pt>
                <c:pt idx="2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88616"/>
        <c:axId val="1618004"/>
      </c:lineChart>
      <c:catAx>
        <c:axId val="20188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8004"/>
        <c:crosses val="autoZero"/>
        <c:auto val="1"/>
        <c:lblAlgn val="ctr"/>
        <c:lblOffset val="100"/>
        <c:noMultiLvlLbl val="0"/>
      </c:catAx>
      <c:valAx>
        <c:axId val="1618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88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176040</xdr:rowOff>
    </xdr:from>
    <xdr:to>
      <xdr:col>16</xdr:col>
      <xdr:colOff>364680</xdr:colOff>
      <xdr:row>17</xdr:row>
      <xdr:rowOff>77040</xdr:rowOff>
    </xdr:to>
    <xdr:graphicFrame>
      <xdr:nvGraphicFramePr>
        <xdr:cNvPr id="0" name="Chart 1"/>
        <xdr:cNvGraphicFramePr/>
      </xdr:nvGraphicFramePr>
      <xdr:xfrm>
        <a:off x="956304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176040</xdr:rowOff>
    </xdr:from>
    <xdr:to>
      <xdr:col>16</xdr:col>
      <xdr:colOff>364680</xdr:colOff>
      <xdr:row>17</xdr:row>
      <xdr:rowOff>77040</xdr:rowOff>
    </xdr:to>
    <xdr:graphicFrame>
      <xdr:nvGraphicFramePr>
        <xdr:cNvPr id="1" name="Chart 1"/>
        <xdr:cNvGraphicFramePr/>
      </xdr:nvGraphicFramePr>
      <xdr:xfrm>
        <a:off x="956304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176040</xdr:rowOff>
    </xdr:from>
    <xdr:to>
      <xdr:col>16</xdr:col>
      <xdr:colOff>364680</xdr:colOff>
      <xdr:row>17</xdr:row>
      <xdr:rowOff>77040</xdr:rowOff>
    </xdr:to>
    <xdr:graphicFrame>
      <xdr:nvGraphicFramePr>
        <xdr:cNvPr id="2" name="Chart 1"/>
        <xdr:cNvGraphicFramePr/>
      </xdr:nvGraphicFramePr>
      <xdr:xfrm>
        <a:off x="956304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176040</xdr:rowOff>
    </xdr:from>
    <xdr:to>
      <xdr:col>16</xdr:col>
      <xdr:colOff>364680</xdr:colOff>
      <xdr:row>17</xdr:row>
      <xdr:rowOff>77040</xdr:rowOff>
    </xdr:to>
    <xdr:graphicFrame>
      <xdr:nvGraphicFramePr>
        <xdr:cNvPr id="3" name="Chart 1"/>
        <xdr:cNvGraphicFramePr/>
      </xdr:nvGraphicFramePr>
      <xdr:xfrm>
        <a:off x="956304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9.5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customFormat="false" ht="15" hidden="false" customHeight="false" outlineLevel="0" collapsed="false">
      <c r="A2" s="4" t="s">
        <v>16</v>
      </c>
      <c r="B2" s="4" t="s">
        <v>17</v>
      </c>
      <c r="C2" s="4" t="s">
        <v>18</v>
      </c>
      <c r="D2" s="5" t="n">
        <f aca="false">Sprint_1!B2</f>
        <v>22</v>
      </c>
      <c r="E2" s="5" t="n">
        <f aca="false">IF(COUNT(Sprint_1!C6:C40)=0,"Sin registros",LOOKUP(2,1/(Sprint_1!C6:C40&lt;&gt;""),Sprint_1!C6:C40))</f>
        <v>0</v>
      </c>
      <c r="F2" s="4" t="n">
        <f aca="false">IF(ISNUMBER(E2),D2-E2,"—")</f>
        <v>22</v>
      </c>
      <c r="G2" s="5" t="n">
        <f aca="false">IF(ISNUMBER(E2),E2-(D2-LOOKUP(2,1/(Sprint_1!C6:C40&lt;&gt;""),Sprint_1!B6:B40)),"—")</f>
        <v>-22</v>
      </c>
      <c r="H2" s="4" t="str">
        <f aca="false">IF(ISNUMBER(G2),IF(G2&lt;-1,"Atrasado",IF(G2&gt;1,"Adelantado","Al día")),"Sin datos")</f>
        <v>Atrasado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21</v>
      </c>
      <c r="D3" s="5" t="n">
        <f aca="false">Sprint_2!B2</f>
        <v>21</v>
      </c>
      <c r="E3" s="5" t="n">
        <f aca="false">IF(COUNT(Sprint_2!C6:C40)=0,"Sin registros",LOOKUP(2,1/(Sprint_2!C6:C40&lt;&gt;""),Sprint_2!C6:C40))</f>
        <v>21</v>
      </c>
      <c r="F3" s="4" t="n">
        <f aca="false">IF(ISNUMBER(E3),D3-E3,"—")</f>
        <v>0</v>
      </c>
      <c r="G3" s="5" t="n">
        <f aca="false">IF(ISNUMBER(E3),E3-(D3-LOOKUP(2,1/(Sprint_2!C6:C40&lt;&gt;""),Sprint_2!B6:B40)),"—")</f>
        <v>9.33</v>
      </c>
      <c r="H3" s="4" t="str">
        <f aca="false">IF(ISNUMBER(G3),IF(G3&lt;-1,"Atrasado",IF(G3&gt;1,"Adelantado","Al día")),"Sin datos")</f>
        <v>Adelantado</v>
      </c>
    </row>
    <row r="4" customFormat="false" ht="15" hidden="false" customHeight="false" outlineLevel="0" collapsed="false">
      <c r="A4" s="4" t="s">
        <v>22</v>
      </c>
      <c r="B4" s="4" t="s">
        <v>23</v>
      </c>
      <c r="C4" s="4" t="s">
        <v>24</v>
      </c>
      <c r="D4" s="5" t="n">
        <f aca="false">Sprint_3!B2</f>
        <v>26</v>
      </c>
      <c r="E4" s="5" t="str">
        <f aca="false">IF(COUNT(Sprint_3!C6:C40)=0,"Sin registros",LOOKUP(2,1/(Sprint_3!C6:C40&lt;&gt;""),Sprint_3!C6:C40))</f>
        <v>Sin registros</v>
      </c>
      <c r="F4" s="4" t="str">
        <f aca="false">IF(ISNUMBER(E4),D4-E4,"—")</f>
        <v>—</v>
      </c>
      <c r="G4" s="5" t="str">
        <f aca="false">IF(ISNUMBER(E4),E4-(D4-LOOKUP(2,1/(Sprint_3!C6:C40&lt;&gt;""),Sprint_3!B6:B40)),"—")</f>
        <v>—</v>
      </c>
      <c r="H4" s="4" t="str">
        <f aca="false">IF(ISNUMBER(G4),IF(G4&lt;-1,"Atrasado",IF(G4&gt;1,"Adelantado","Al día")),"Sin datos")</f>
        <v>Sin datos</v>
      </c>
    </row>
    <row r="5" customFormat="false" ht="15" hidden="false" customHeight="false" outlineLevel="0" collapsed="false">
      <c r="A5" s="4" t="s">
        <v>25</v>
      </c>
      <c r="B5" s="4" t="s">
        <v>17</v>
      </c>
      <c r="C5" s="4" t="s">
        <v>24</v>
      </c>
      <c r="D5" s="5" t="n">
        <f aca="false">Proyecto!B2</f>
        <v>69</v>
      </c>
      <c r="E5" s="5" t="n">
        <f aca="false">IF(COUNT(Proyecto!C6:C40)=0,"Sin registros",LOOKUP(2,1/(Proyecto!C6:C40&lt;&gt;""),Proyecto!C6:C40))</f>
        <v>43</v>
      </c>
      <c r="F5" s="4" t="n">
        <f aca="false">IF(ISNUMBER(E5),D5-E5,"—")</f>
        <v>26</v>
      </c>
      <c r="G5" s="5" t="n">
        <f aca="false">IF(ISNUMBER(E5),E5-(D5-LOOKUP(2,1/(Proyecto!C6:C40&lt;&gt;""),Proyecto!B6:B40)),"—")</f>
        <v>7.31</v>
      </c>
      <c r="H5" s="4" t="str">
        <f aca="false">IF(ISNUMBER(G5),IF(G5&lt;-1,"Atrasado",IF(G5&gt;1,"Adelantado","Al día")),"Sin datos")</f>
        <v>Adelantado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 t="s">
        <v>26</v>
      </c>
      <c r="B7" s="4"/>
      <c r="C7" s="4"/>
      <c r="D7" s="6" t="n">
        <v>6</v>
      </c>
      <c r="E7" s="4"/>
      <c r="F7" s="4"/>
      <c r="G7" s="4"/>
      <c r="H7" s="4" t="s">
        <v>27</v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4" t="s">
        <v>28</v>
      </c>
      <c r="B9" s="4"/>
      <c r="C9" s="4"/>
      <c r="D9" s="4"/>
      <c r="E9" s="4"/>
      <c r="F9" s="4"/>
      <c r="G9" s="4"/>
      <c r="H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16</v>
      </c>
      <c r="B1" s="4"/>
      <c r="C1" s="4"/>
      <c r="D1" s="4"/>
      <c r="E1" s="4"/>
    </row>
    <row r="2" customFormat="false" ht="15" hidden="false" customHeight="false" outlineLevel="0" collapsed="false">
      <c r="A2" s="4" t="s">
        <v>11</v>
      </c>
      <c r="B2" s="6" t="n">
        <v>22</v>
      </c>
      <c r="C2" s="4" t="s">
        <v>29</v>
      </c>
      <c r="D2" s="4"/>
      <c r="E2" s="4"/>
    </row>
    <row r="3" customFormat="false" ht="15" hidden="false" customHeight="false" outlineLevel="0" collapsed="false">
      <c r="A3" s="4" t="s">
        <v>30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39.55" hidden="false" customHeight="fals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</row>
    <row r="6" customFormat="false" ht="15" hidden="false" customHeight="false" outlineLevel="0" collapsed="false">
      <c r="A6" s="7" t="n">
        <v>46301</v>
      </c>
      <c r="B6" s="4" t="n">
        <f aca="false">ROUND($B$2*(1-0/9),2)</f>
        <v>22</v>
      </c>
      <c r="C6" s="8" t="n">
        <v>0</v>
      </c>
      <c r="D6" s="4" t="n">
        <f aca="false">IF(C6="","",$B$2-C6)</f>
        <v>22</v>
      </c>
      <c r="E6" s="4" t="s">
        <v>36</v>
      </c>
    </row>
    <row r="7" customFormat="false" ht="15" hidden="false" customHeight="false" outlineLevel="0" collapsed="false">
      <c r="A7" s="7" t="n">
        <v>46302</v>
      </c>
      <c r="B7" s="4" t="n">
        <f aca="false">ROUND($B$2*(1-1/9),2)</f>
        <v>19.56</v>
      </c>
      <c r="C7" s="8"/>
      <c r="D7" s="4" t="str">
        <f aca="false">IF(C7="","",$B$2-C7)</f>
        <v/>
      </c>
      <c r="E7" s="4"/>
    </row>
    <row r="8" customFormat="false" ht="15" hidden="false" customHeight="false" outlineLevel="0" collapsed="false">
      <c r="A8" s="7" t="n">
        <v>46303</v>
      </c>
      <c r="B8" s="4" t="n">
        <f aca="false">ROUND($B$2*(1-2/9),2)</f>
        <v>17.11</v>
      </c>
      <c r="C8" s="8"/>
      <c r="D8" s="4" t="str">
        <f aca="false">IF(C8="","",$B$2-C8)</f>
        <v/>
      </c>
      <c r="E8" s="4"/>
    </row>
    <row r="9" customFormat="false" ht="15" hidden="false" customHeight="false" outlineLevel="0" collapsed="false">
      <c r="A9" s="7" t="n">
        <v>46304</v>
      </c>
      <c r="B9" s="4" t="n">
        <f aca="false">ROUND($B$2*(1-3/9),2)</f>
        <v>14.67</v>
      </c>
      <c r="C9" s="8"/>
      <c r="D9" s="4" t="str">
        <f aca="false">IF(C9="","",$B$2-C9)</f>
        <v/>
      </c>
      <c r="E9" s="4"/>
    </row>
    <row r="10" customFormat="false" ht="15" hidden="false" customHeight="false" outlineLevel="0" collapsed="false">
      <c r="A10" s="7" t="n">
        <v>46307</v>
      </c>
      <c r="B10" s="4" t="n">
        <f aca="false">ROUND($B$2*(1-4/9),2)</f>
        <v>12.22</v>
      </c>
      <c r="C10" s="8"/>
      <c r="D10" s="4" t="str">
        <f aca="false">IF(C10="","",$B$2-C10)</f>
        <v/>
      </c>
      <c r="E10" s="4"/>
    </row>
    <row r="11" customFormat="false" ht="15" hidden="false" customHeight="false" outlineLevel="0" collapsed="false">
      <c r="A11" s="7" t="n">
        <v>46308</v>
      </c>
      <c r="B11" s="4" t="n">
        <f aca="false">ROUND($B$2*(1-5/9),2)</f>
        <v>9.78</v>
      </c>
      <c r="C11" s="8"/>
      <c r="D11" s="4" t="str">
        <f aca="false">IF(C11="","",$B$2-C11)</f>
        <v/>
      </c>
      <c r="E11" s="4"/>
    </row>
    <row r="12" customFormat="false" ht="15" hidden="false" customHeight="false" outlineLevel="0" collapsed="false">
      <c r="A12" s="7" t="n">
        <v>46309</v>
      </c>
      <c r="B12" s="4" t="n">
        <f aca="false">ROUND($B$2*(1-6/9),2)</f>
        <v>7.33</v>
      </c>
      <c r="C12" s="8"/>
      <c r="D12" s="4" t="str">
        <f aca="false">IF(C12="","",$B$2-C12)</f>
        <v/>
      </c>
      <c r="E12" s="4"/>
    </row>
    <row r="13" customFormat="false" ht="15" hidden="false" customHeight="false" outlineLevel="0" collapsed="false">
      <c r="A13" s="7" t="n">
        <v>46310</v>
      </c>
      <c r="B13" s="4" t="n">
        <f aca="false">ROUND($B$2*(1-7/9),2)</f>
        <v>4.89</v>
      </c>
      <c r="C13" s="8"/>
      <c r="D13" s="4" t="str">
        <f aca="false">IF(C13="","",$B$2-C13)</f>
        <v/>
      </c>
      <c r="E13" s="4"/>
    </row>
    <row r="14" customFormat="false" ht="15" hidden="false" customHeight="false" outlineLevel="0" collapsed="false">
      <c r="A14" s="7" t="n">
        <v>46311</v>
      </c>
      <c r="B14" s="4" t="n">
        <f aca="false">ROUND($B$2*(1-8/9),2)</f>
        <v>2.44</v>
      </c>
      <c r="C14" s="8"/>
      <c r="D14" s="4" t="str">
        <f aca="false">IF(C14="","",$B$2-C14)</f>
        <v/>
      </c>
      <c r="E14" s="4"/>
    </row>
    <row r="15" customFormat="false" ht="15" hidden="false" customHeight="false" outlineLevel="0" collapsed="false">
      <c r="A15" s="7" t="n">
        <v>46314</v>
      </c>
      <c r="B15" s="4" t="n">
        <f aca="false">ROUND($B$2*(1-9/9),2)</f>
        <v>0</v>
      </c>
      <c r="C15" s="8" t="n">
        <v>0</v>
      </c>
      <c r="D15" s="4" t="n">
        <f aca="false">IF(C15="","",$B$2-C15)</f>
        <v>22</v>
      </c>
      <c r="E15" s="4" t="s">
        <v>36</v>
      </c>
    </row>
    <row r="16" customFormat="false" ht="15" hidden="false" customHeight="false" outlineLevel="0" collapsed="false">
      <c r="A16" s="4"/>
      <c r="B16" s="4"/>
      <c r="C16" s="4"/>
      <c r="D16" s="4"/>
      <c r="E16" s="4"/>
    </row>
    <row r="17" customFormat="false" ht="15" hidden="false" customHeight="false" outlineLevel="0" collapsed="false">
      <c r="A17" s="9" t="s">
        <v>37</v>
      </c>
      <c r="B17" s="4"/>
      <c r="C17" s="4"/>
      <c r="D17" s="4"/>
      <c r="E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19</v>
      </c>
      <c r="B1" s="4"/>
      <c r="C1" s="4"/>
      <c r="D1" s="4"/>
      <c r="E1" s="4"/>
    </row>
    <row r="2" customFormat="false" ht="15" hidden="false" customHeight="false" outlineLevel="0" collapsed="false">
      <c r="A2" s="4" t="s">
        <v>11</v>
      </c>
      <c r="B2" s="6" t="n">
        <v>21</v>
      </c>
      <c r="C2" s="4" t="s">
        <v>29</v>
      </c>
      <c r="D2" s="4"/>
      <c r="E2" s="4"/>
    </row>
    <row r="3" customFormat="false" ht="15" hidden="false" customHeight="false" outlineLevel="0" collapsed="false">
      <c r="A3" s="4" t="s">
        <v>38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39.55" hidden="false" customHeight="fals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</row>
    <row r="6" customFormat="false" ht="15" hidden="false" customHeight="false" outlineLevel="0" collapsed="false">
      <c r="A6" s="7" t="n">
        <v>46315</v>
      </c>
      <c r="B6" s="4" t="n">
        <f aca="false">ROUND($B$2*(1-0/9),2)</f>
        <v>21</v>
      </c>
      <c r="C6" s="8" t="n">
        <v>0</v>
      </c>
      <c r="D6" s="4" t="n">
        <f aca="false">IF(C6="","",$B$2-C6)</f>
        <v>21</v>
      </c>
      <c r="E6" s="4" t="s">
        <v>36</v>
      </c>
    </row>
    <row r="7" customFormat="false" ht="15" hidden="false" customHeight="false" outlineLevel="0" collapsed="false">
      <c r="A7" s="7" t="n">
        <v>46316</v>
      </c>
      <c r="B7" s="4" t="n">
        <f aca="false">ROUND($B$2*(1-1/9),2)</f>
        <v>18.67</v>
      </c>
      <c r="C7" s="8"/>
      <c r="D7" s="4" t="str">
        <f aca="false">IF(C7="","",$B$2-C7)</f>
        <v/>
      </c>
      <c r="E7" s="4"/>
    </row>
    <row r="8" customFormat="false" ht="15" hidden="false" customHeight="false" outlineLevel="0" collapsed="false">
      <c r="A8" s="7" t="n">
        <v>46317</v>
      </c>
      <c r="B8" s="4" t="n">
        <f aca="false">ROUND($B$2*(1-2/9),2)</f>
        <v>16.33</v>
      </c>
      <c r="C8" s="8"/>
      <c r="D8" s="4" t="str">
        <f aca="false">IF(C8="","",$B$2-C8)</f>
        <v/>
      </c>
      <c r="E8" s="4"/>
    </row>
    <row r="9" customFormat="false" ht="15" hidden="false" customHeight="false" outlineLevel="0" collapsed="false">
      <c r="A9" s="7" t="n">
        <v>46318</v>
      </c>
      <c r="B9" s="4" t="n">
        <f aca="false">ROUND($B$2*(1-3/9),2)</f>
        <v>14</v>
      </c>
      <c r="C9" s="8"/>
      <c r="D9" s="4" t="str">
        <f aca="false">IF(C9="","",$B$2-C9)</f>
        <v/>
      </c>
      <c r="E9" s="4"/>
    </row>
    <row r="10" customFormat="false" ht="15" hidden="false" customHeight="false" outlineLevel="0" collapsed="false">
      <c r="A10" s="7" t="n">
        <v>46321</v>
      </c>
      <c r="B10" s="4" t="n">
        <f aca="false">ROUND($B$2*(1-4/9),2)</f>
        <v>11.67</v>
      </c>
      <c r="C10" s="8" t="n">
        <v>0</v>
      </c>
      <c r="D10" s="4" t="n">
        <f aca="false">IF(C10="","",$B$2-C10)</f>
        <v>21</v>
      </c>
      <c r="E10" s="4" t="s">
        <v>36</v>
      </c>
    </row>
    <row r="11" customFormat="false" ht="15" hidden="false" customHeight="false" outlineLevel="0" collapsed="false">
      <c r="A11" s="7" t="n">
        <v>46322</v>
      </c>
      <c r="B11" s="4" t="n">
        <f aca="false">ROUND($B$2*(1-5/9),2)</f>
        <v>9.33</v>
      </c>
      <c r="C11" s="8" t="n">
        <v>21</v>
      </c>
      <c r="D11" s="4" t="n">
        <f aca="false">IF(C11="","",$B$2-C11)</f>
        <v>0</v>
      </c>
      <c r="E11" s="4" t="s">
        <v>36</v>
      </c>
    </row>
    <row r="12" customFormat="false" ht="15" hidden="false" customHeight="false" outlineLevel="0" collapsed="false">
      <c r="A12" s="7" t="n">
        <v>46323</v>
      </c>
      <c r="B12" s="4" t="n">
        <f aca="false">ROUND($B$2*(1-6/9),2)</f>
        <v>7</v>
      </c>
      <c r="C12" s="8"/>
      <c r="D12" s="4" t="str">
        <f aca="false">IF(C12="","",$B$2-C12)</f>
        <v/>
      </c>
      <c r="E12" s="4"/>
    </row>
    <row r="13" customFormat="false" ht="15" hidden="false" customHeight="false" outlineLevel="0" collapsed="false">
      <c r="A13" s="7" t="n">
        <v>46324</v>
      </c>
      <c r="B13" s="4" t="n">
        <f aca="false">ROUND($B$2*(1-7/9),2)</f>
        <v>4.67</v>
      </c>
      <c r="C13" s="8"/>
      <c r="D13" s="4" t="str">
        <f aca="false">IF(C13="","",$B$2-C13)</f>
        <v/>
      </c>
      <c r="E13" s="4"/>
    </row>
    <row r="14" customFormat="false" ht="15" hidden="false" customHeight="false" outlineLevel="0" collapsed="false">
      <c r="A14" s="7" t="n">
        <v>46325</v>
      </c>
      <c r="B14" s="4" t="n">
        <f aca="false">ROUND($B$2*(1-8/9),2)</f>
        <v>2.33</v>
      </c>
      <c r="C14" s="8"/>
      <c r="D14" s="4" t="str">
        <f aca="false">IF(C14="","",$B$2-C14)</f>
        <v/>
      </c>
      <c r="E14" s="4"/>
    </row>
    <row r="15" customFormat="false" ht="15" hidden="false" customHeight="false" outlineLevel="0" collapsed="false">
      <c r="A15" s="7" t="n">
        <v>46328</v>
      </c>
      <c r="B15" s="4" t="n">
        <f aca="false">ROUND($B$2*(1-9/9),2)</f>
        <v>0</v>
      </c>
      <c r="C15" s="8"/>
      <c r="D15" s="4" t="str">
        <f aca="false">IF(C15="","",$B$2-C15)</f>
        <v/>
      </c>
      <c r="E15" s="4"/>
    </row>
    <row r="16" customFormat="false" ht="15" hidden="false" customHeight="false" outlineLevel="0" collapsed="false">
      <c r="A16" s="4"/>
      <c r="B16" s="4"/>
      <c r="C16" s="4"/>
      <c r="D16" s="4"/>
      <c r="E16" s="4"/>
    </row>
    <row r="17" customFormat="false" ht="15" hidden="false" customHeight="false" outlineLevel="0" collapsed="false">
      <c r="A17" s="9" t="s">
        <v>37</v>
      </c>
      <c r="B17" s="4"/>
      <c r="C17" s="4"/>
      <c r="D17" s="4"/>
      <c r="E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22</v>
      </c>
      <c r="B1" s="4"/>
      <c r="C1" s="4"/>
      <c r="D1" s="4"/>
      <c r="E1" s="4"/>
    </row>
    <row r="2" customFormat="false" ht="15" hidden="false" customHeight="false" outlineLevel="0" collapsed="false">
      <c r="A2" s="4" t="s">
        <v>11</v>
      </c>
      <c r="B2" s="6" t="n">
        <v>26</v>
      </c>
      <c r="C2" s="4" t="s">
        <v>29</v>
      </c>
      <c r="D2" s="4"/>
      <c r="E2" s="4"/>
    </row>
    <row r="3" customFormat="false" ht="15" hidden="false" customHeight="false" outlineLevel="0" collapsed="false">
      <c r="A3" s="4" t="s">
        <v>39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39.55" hidden="false" customHeight="fals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</row>
    <row r="6" customFormat="false" ht="15" hidden="false" customHeight="false" outlineLevel="0" collapsed="false">
      <c r="A6" s="7" t="n">
        <v>46329</v>
      </c>
      <c r="B6" s="4" t="n">
        <f aca="false">ROUND($B$2*(1-0/9),2)</f>
        <v>26</v>
      </c>
      <c r="C6" s="8"/>
      <c r="D6" s="4" t="str">
        <f aca="false">IF(C6="","",$B$2-C6)</f>
        <v/>
      </c>
      <c r="E6" s="4"/>
    </row>
    <row r="7" customFormat="false" ht="15" hidden="false" customHeight="false" outlineLevel="0" collapsed="false">
      <c r="A7" s="7" t="n">
        <v>46330</v>
      </c>
      <c r="B7" s="4" t="n">
        <f aca="false">ROUND($B$2*(1-1/9),2)</f>
        <v>23.11</v>
      </c>
      <c r="C7" s="8"/>
      <c r="D7" s="4" t="str">
        <f aca="false">IF(C7="","",$B$2-C7)</f>
        <v/>
      </c>
      <c r="E7" s="4"/>
    </row>
    <row r="8" customFormat="false" ht="15" hidden="false" customHeight="false" outlineLevel="0" collapsed="false">
      <c r="A8" s="7" t="n">
        <v>46331</v>
      </c>
      <c r="B8" s="4" t="n">
        <f aca="false">ROUND($B$2*(1-2/9),2)</f>
        <v>20.22</v>
      </c>
      <c r="C8" s="8"/>
      <c r="D8" s="4" t="str">
        <f aca="false">IF(C8="","",$B$2-C8)</f>
        <v/>
      </c>
      <c r="E8" s="4"/>
    </row>
    <row r="9" customFormat="false" ht="15" hidden="false" customHeight="false" outlineLevel="0" collapsed="false">
      <c r="A9" s="7" t="n">
        <v>46332</v>
      </c>
      <c r="B9" s="4" t="n">
        <f aca="false">ROUND($B$2*(1-3/9),2)</f>
        <v>17.33</v>
      </c>
      <c r="C9" s="8"/>
      <c r="D9" s="4" t="str">
        <f aca="false">IF(C9="","",$B$2-C9)</f>
        <v/>
      </c>
      <c r="E9" s="4"/>
    </row>
    <row r="10" customFormat="false" ht="15" hidden="false" customHeight="false" outlineLevel="0" collapsed="false">
      <c r="A10" s="7" t="n">
        <v>46335</v>
      </c>
      <c r="B10" s="4" t="n">
        <f aca="false">ROUND($B$2*(1-4/9),2)</f>
        <v>14.44</v>
      </c>
      <c r="C10" s="8"/>
      <c r="D10" s="4" t="str">
        <f aca="false">IF(C10="","",$B$2-C10)</f>
        <v/>
      </c>
      <c r="E10" s="4"/>
    </row>
    <row r="11" customFormat="false" ht="15" hidden="false" customHeight="false" outlineLevel="0" collapsed="false">
      <c r="A11" s="7" t="n">
        <v>46336</v>
      </c>
      <c r="B11" s="4" t="n">
        <f aca="false">ROUND($B$2*(1-5/9),2)</f>
        <v>11.56</v>
      </c>
      <c r="C11" s="8"/>
      <c r="D11" s="4" t="str">
        <f aca="false">IF(C11="","",$B$2-C11)</f>
        <v/>
      </c>
      <c r="E11" s="4"/>
    </row>
    <row r="12" customFormat="false" ht="15" hidden="false" customHeight="false" outlineLevel="0" collapsed="false">
      <c r="A12" s="7" t="n">
        <v>46337</v>
      </c>
      <c r="B12" s="4" t="n">
        <f aca="false">ROUND($B$2*(1-6/9),2)</f>
        <v>8.67</v>
      </c>
      <c r="C12" s="8"/>
      <c r="D12" s="4" t="str">
        <f aca="false">IF(C12="","",$B$2-C12)</f>
        <v/>
      </c>
      <c r="E12" s="4"/>
    </row>
    <row r="13" customFormat="false" ht="15" hidden="false" customHeight="false" outlineLevel="0" collapsed="false">
      <c r="A13" s="7" t="n">
        <v>46338</v>
      </c>
      <c r="B13" s="4" t="n">
        <f aca="false">ROUND($B$2*(1-7/9),2)</f>
        <v>5.78</v>
      </c>
      <c r="C13" s="8"/>
      <c r="D13" s="4" t="str">
        <f aca="false">IF(C13="","",$B$2-C13)</f>
        <v/>
      </c>
      <c r="E13" s="4"/>
    </row>
    <row r="14" customFormat="false" ht="15" hidden="false" customHeight="false" outlineLevel="0" collapsed="false">
      <c r="A14" s="7" t="n">
        <v>46339</v>
      </c>
      <c r="B14" s="4" t="n">
        <f aca="false">ROUND($B$2*(1-8/9),2)</f>
        <v>2.89</v>
      </c>
      <c r="C14" s="8"/>
      <c r="D14" s="4" t="str">
        <f aca="false">IF(C14="","",$B$2-C14)</f>
        <v/>
      </c>
      <c r="E14" s="4"/>
    </row>
    <row r="15" customFormat="false" ht="15" hidden="false" customHeight="false" outlineLevel="0" collapsed="false">
      <c r="A15" s="7" t="n">
        <v>46342</v>
      </c>
      <c r="B15" s="4" t="n">
        <f aca="false">ROUND($B$2*(1-9/9),2)</f>
        <v>0</v>
      </c>
      <c r="C15" s="8"/>
      <c r="D15" s="4" t="str">
        <f aca="false">IF(C15="","",$B$2-C15)</f>
        <v/>
      </c>
      <c r="E15" s="4"/>
    </row>
    <row r="16" customFormat="false" ht="15" hidden="false" customHeight="false" outlineLevel="0" collapsed="false">
      <c r="A16" s="4"/>
      <c r="B16" s="4"/>
      <c r="C16" s="4"/>
      <c r="D16" s="4"/>
      <c r="E16" s="4"/>
    </row>
    <row r="17" customFormat="false" ht="15" hidden="false" customHeight="false" outlineLevel="0" collapsed="false">
      <c r="A17" s="9" t="s">
        <v>37</v>
      </c>
      <c r="B17" s="4"/>
      <c r="C17" s="4"/>
      <c r="D17" s="4"/>
      <c r="E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25</v>
      </c>
      <c r="B1" s="4"/>
      <c r="C1" s="4"/>
      <c r="D1" s="4"/>
      <c r="E1" s="4"/>
    </row>
    <row r="2" customFormat="false" ht="15" hidden="false" customHeight="false" outlineLevel="0" collapsed="false">
      <c r="A2" s="4" t="s">
        <v>11</v>
      </c>
      <c r="B2" s="6" t="n">
        <v>69</v>
      </c>
      <c r="C2" s="4" t="s">
        <v>29</v>
      </c>
      <c r="D2" s="4"/>
      <c r="E2" s="4"/>
    </row>
    <row r="3" customFormat="false" ht="15" hidden="false" customHeight="false" outlineLevel="0" collapsed="false">
      <c r="A3" s="4" t="s">
        <v>40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39.55" hidden="false" customHeight="fals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</row>
    <row r="6" customFormat="false" ht="15" hidden="false" customHeight="false" outlineLevel="0" collapsed="false">
      <c r="A6" s="7" t="n">
        <v>46301</v>
      </c>
      <c r="B6" s="4" t="n">
        <f aca="false">ROUND($B$2*(1-0/29),2)</f>
        <v>69</v>
      </c>
      <c r="C6" s="8" t="n">
        <v>0</v>
      </c>
      <c r="D6" s="4" t="n">
        <f aca="false">IF(C6="","",$B$2-C6)</f>
        <v>69</v>
      </c>
      <c r="E6" s="4" t="s">
        <v>36</v>
      </c>
    </row>
    <row r="7" customFormat="false" ht="15" hidden="false" customHeight="false" outlineLevel="0" collapsed="false">
      <c r="A7" s="7" t="n">
        <v>46302</v>
      </c>
      <c r="B7" s="4" t="n">
        <f aca="false">ROUND($B$2*(1-1/29),2)</f>
        <v>66.62</v>
      </c>
      <c r="C7" s="8"/>
      <c r="D7" s="4" t="str">
        <f aca="false">IF(C7="","",$B$2-C7)</f>
        <v/>
      </c>
      <c r="E7" s="4"/>
    </row>
    <row r="8" customFormat="false" ht="15" hidden="false" customHeight="false" outlineLevel="0" collapsed="false">
      <c r="A8" s="7" t="n">
        <v>46303</v>
      </c>
      <c r="B8" s="4" t="n">
        <f aca="false">ROUND($B$2*(1-2/29),2)</f>
        <v>64.24</v>
      </c>
      <c r="C8" s="8"/>
      <c r="D8" s="4" t="str">
        <f aca="false">IF(C8="","",$B$2-C8)</f>
        <v/>
      </c>
      <c r="E8" s="4"/>
    </row>
    <row r="9" customFormat="false" ht="15" hidden="false" customHeight="false" outlineLevel="0" collapsed="false">
      <c r="A9" s="7" t="n">
        <v>46304</v>
      </c>
      <c r="B9" s="4" t="n">
        <f aca="false">ROUND($B$2*(1-3/29),2)</f>
        <v>61.86</v>
      </c>
      <c r="C9" s="8"/>
      <c r="D9" s="4" t="str">
        <f aca="false">IF(C9="","",$B$2-C9)</f>
        <v/>
      </c>
      <c r="E9" s="4"/>
    </row>
    <row r="10" customFormat="false" ht="15" hidden="false" customHeight="false" outlineLevel="0" collapsed="false">
      <c r="A10" s="7" t="n">
        <v>46307</v>
      </c>
      <c r="B10" s="4" t="n">
        <f aca="false">ROUND($B$2*(1-4/29),2)</f>
        <v>59.48</v>
      </c>
      <c r="C10" s="8"/>
      <c r="D10" s="4" t="str">
        <f aca="false">IF(C10="","",$B$2-C10)</f>
        <v/>
      </c>
      <c r="E10" s="4"/>
    </row>
    <row r="11" customFormat="false" ht="15" hidden="false" customHeight="false" outlineLevel="0" collapsed="false">
      <c r="A11" s="7" t="n">
        <v>46308</v>
      </c>
      <c r="B11" s="4" t="n">
        <f aca="false">ROUND($B$2*(1-5/29),2)</f>
        <v>57.1</v>
      </c>
      <c r="C11" s="8"/>
      <c r="D11" s="4" t="str">
        <f aca="false">IF(C11="","",$B$2-C11)</f>
        <v/>
      </c>
      <c r="E11" s="4"/>
    </row>
    <row r="12" customFormat="false" ht="15" hidden="false" customHeight="false" outlineLevel="0" collapsed="false">
      <c r="A12" s="7" t="n">
        <v>46309</v>
      </c>
      <c r="B12" s="4" t="n">
        <f aca="false">ROUND($B$2*(1-6/29),2)</f>
        <v>54.72</v>
      </c>
      <c r="C12" s="8"/>
      <c r="D12" s="4" t="str">
        <f aca="false">IF(C12="","",$B$2-C12)</f>
        <v/>
      </c>
      <c r="E12" s="4"/>
    </row>
    <row r="13" customFormat="false" ht="15" hidden="false" customHeight="false" outlineLevel="0" collapsed="false">
      <c r="A13" s="7" t="n">
        <v>46310</v>
      </c>
      <c r="B13" s="4" t="n">
        <f aca="false">ROUND($B$2*(1-7/29),2)</f>
        <v>52.34</v>
      </c>
      <c r="C13" s="8"/>
      <c r="D13" s="4" t="str">
        <f aca="false">IF(C13="","",$B$2-C13)</f>
        <v/>
      </c>
      <c r="E13" s="4"/>
    </row>
    <row r="14" customFormat="false" ht="15" hidden="false" customHeight="false" outlineLevel="0" collapsed="false">
      <c r="A14" s="7" t="n">
        <v>46311</v>
      </c>
      <c r="B14" s="4" t="n">
        <f aca="false">ROUND($B$2*(1-8/29),2)</f>
        <v>49.97</v>
      </c>
      <c r="C14" s="8"/>
      <c r="D14" s="4" t="str">
        <f aca="false">IF(C14="","",$B$2-C14)</f>
        <v/>
      </c>
      <c r="E14" s="4"/>
    </row>
    <row r="15" customFormat="false" ht="15" hidden="false" customHeight="false" outlineLevel="0" collapsed="false">
      <c r="A15" s="7" t="n">
        <v>46314</v>
      </c>
      <c r="B15" s="4" t="n">
        <f aca="false">ROUND($B$2*(1-9/29),2)</f>
        <v>47.59</v>
      </c>
      <c r="C15" s="8" t="n">
        <v>0</v>
      </c>
      <c r="D15" s="4" t="n">
        <f aca="false">IF(C15="","",$B$2-C15)</f>
        <v>69</v>
      </c>
      <c r="E15" s="4" t="s">
        <v>36</v>
      </c>
    </row>
    <row r="16" customFormat="false" ht="15" hidden="false" customHeight="false" outlineLevel="0" collapsed="false">
      <c r="A16" s="7" t="n">
        <v>46315</v>
      </c>
      <c r="B16" s="4" t="n">
        <f aca="false">ROUND($B$2*(1-10/29),2)</f>
        <v>45.21</v>
      </c>
      <c r="C16" s="8"/>
      <c r="D16" s="4" t="str">
        <f aca="false">IF(C16="","",$B$2-C16)</f>
        <v/>
      </c>
      <c r="E16" s="4"/>
    </row>
    <row r="17" customFormat="false" ht="15" hidden="false" customHeight="false" outlineLevel="0" collapsed="false">
      <c r="A17" s="7" t="n">
        <v>46316</v>
      </c>
      <c r="B17" s="4" t="n">
        <f aca="false">ROUND($B$2*(1-11/29),2)</f>
        <v>42.83</v>
      </c>
      <c r="C17" s="8"/>
      <c r="D17" s="4" t="str">
        <f aca="false">IF(C17="","",$B$2-C17)</f>
        <v/>
      </c>
      <c r="E17" s="4"/>
    </row>
    <row r="18" customFormat="false" ht="15" hidden="false" customHeight="false" outlineLevel="0" collapsed="false">
      <c r="A18" s="7" t="n">
        <v>46317</v>
      </c>
      <c r="B18" s="4" t="n">
        <f aca="false">ROUND($B$2*(1-12/29),2)</f>
        <v>40.45</v>
      </c>
      <c r="C18" s="8"/>
      <c r="D18" s="4" t="str">
        <f aca="false">IF(C18="","",$B$2-C18)</f>
        <v/>
      </c>
      <c r="E18" s="4"/>
    </row>
    <row r="19" customFormat="false" ht="15" hidden="false" customHeight="false" outlineLevel="0" collapsed="false">
      <c r="A19" s="7" t="n">
        <v>46318</v>
      </c>
      <c r="B19" s="4" t="n">
        <f aca="false">ROUND($B$2*(1-13/29),2)</f>
        <v>38.07</v>
      </c>
      <c r="C19" s="8"/>
      <c r="D19" s="4" t="str">
        <f aca="false">IF(C19="","",$B$2-C19)</f>
        <v/>
      </c>
      <c r="E19" s="4"/>
    </row>
    <row r="20" customFormat="false" ht="15" hidden="false" customHeight="false" outlineLevel="0" collapsed="false">
      <c r="A20" s="7" t="n">
        <v>46321</v>
      </c>
      <c r="B20" s="4" t="n">
        <f aca="false">ROUND($B$2*(1-14/29),2)</f>
        <v>35.69</v>
      </c>
      <c r="C20" s="8" t="n">
        <v>0</v>
      </c>
      <c r="D20" s="4" t="n">
        <f aca="false">IF(C20="","",$B$2-C20)</f>
        <v>69</v>
      </c>
      <c r="E20" s="4" t="s">
        <v>36</v>
      </c>
    </row>
    <row r="21" customFormat="false" ht="15" hidden="false" customHeight="false" outlineLevel="0" collapsed="false">
      <c r="A21" s="7" t="n">
        <v>46322</v>
      </c>
      <c r="B21" s="4" t="n">
        <f aca="false">ROUND($B$2*(1-15/29),2)</f>
        <v>33.31</v>
      </c>
      <c r="C21" s="8" t="n">
        <v>43</v>
      </c>
      <c r="D21" s="4" t="n">
        <f aca="false">IF(C21="","",$B$2-C21)</f>
        <v>26</v>
      </c>
      <c r="E21" s="4" t="s">
        <v>36</v>
      </c>
    </row>
    <row r="22" customFormat="false" ht="15" hidden="false" customHeight="false" outlineLevel="0" collapsed="false">
      <c r="A22" s="7" t="n">
        <v>46323</v>
      </c>
      <c r="B22" s="4" t="n">
        <f aca="false">ROUND($B$2*(1-16/29),2)</f>
        <v>30.93</v>
      </c>
      <c r="C22" s="8"/>
      <c r="D22" s="4" t="str">
        <f aca="false">IF(C22="","",$B$2-C22)</f>
        <v/>
      </c>
      <c r="E22" s="4"/>
    </row>
    <row r="23" customFormat="false" ht="15" hidden="false" customHeight="false" outlineLevel="0" collapsed="false">
      <c r="A23" s="7" t="n">
        <v>46324</v>
      </c>
      <c r="B23" s="4" t="n">
        <f aca="false">ROUND($B$2*(1-17/29),2)</f>
        <v>28.55</v>
      </c>
      <c r="C23" s="8"/>
      <c r="D23" s="4" t="str">
        <f aca="false">IF(C23="","",$B$2-C23)</f>
        <v/>
      </c>
      <c r="E23" s="4"/>
    </row>
    <row r="24" customFormat="false" ht="15" hidden="false" customHeight="false" outlineLevel="0" collapsed="false">
      <c r="A24" s="7" t="n">
        <v>46325</v>
      </c>
      <c r="B24" s="4" t="n">
        <f aca="false">ROUND($B$2*(1-18/29),2)</f>
        <v>26.17</v>
      </c>
      <c r="C24" s="8"/>
      <c r="D24" s="4" t="str">
        <f aca="false">IF(C24="","",$B$2-C24)</f>
        <v/>
      </c>
      <c r="E24" s="4"/>
    </row>
    <row r="25" customFormat="false" ht="15" hidden="false" customHeight="false" outlineLevel="0" collapsed="false">
      <c r="A25" s="7" t="n">
        <v>46328</v>
      </c>
      <c r="B25" s="4" t="n">
        <f aca="false">ROUND($B$2*(1-19/29),2)</f>
        <v>23.79</v>
      </c>
      <c r="C25" s="8"/>
      <c r="D25" s="4" t="str">
        <f aca="false">IF(C25="","",$B$2-C25)</f>
        <v/>
      </c>
      <c r="E25" s="4"/>
    </row>
    <row r="26" customFormat="false" ht="15" hidden="false" customHeight="false" outlineLevel="0" collapsed="false">
      <c r="A26" s="7" t="n">
        <v>46329</v>
      </c>
      <c r="B26" s="4" t="n">
        <f aca="false">ROUND($B$2*(1-20/29),2)</f>
        <v>21.41</v>
      </c>
      <c r="C26" s="8"/>
      <c r="D26" s="4" t="str">
        <f aca="false">IF(C26="","",$B$2-C26)</f>
        <v/>
      </c>
      <c r="E26" s="4"/>
    </row>
    <row r="27" customFormat="false" ht="15" hidden="false" customHeight="false" outlineLevel="0" collapsed="false">
      <c r="A27" s="7" t="n">
        <v>46330</v>
      </c>
      <c r="B27" s="4" t="n">
        <f aca="false">ROUND($B$2*(1-21/29),2)</f>
        <v>19.03</v>
      </c>
      <c r="C27" s="8"/>
      <c r="D27" s="4" t="str">
        <f aca="false">IF(C27="","",$B$2-C27)</f>
        <v/>
      </c>
      <c r="E27" s="4"/>
    </row>
    <row r="28" customFormat="false" ht="15" hidden="false" customHeight="false" outlineLevel="0" collapsed="false">
      <c r="A28" s="7" t="n">
        <v>46331</v>
      </c>
      <c r="B28" s="4" t="n">
        <f aca="false">ROUND($B$2*(1-22/29),2)</f>
        <v>16.66</v>
      </c>
      <c r="C28" s="8"/>
      <c r="D28" s="4" t="str">
        <f aca="false">IF(C28="","",$B$2-C28)</f>
        <v/>
      </c>
      <c r="E28" s="4"/>
    </row>
    <row r="29" customFormat="false" ht="15" hidden="false" customHeight="false" outlineLevel="0" collapsed="false">
      <c r="A29" s="7" t="n">
        <v>46332</v>
      </c>
      <c r="B29" s="4" t="n">
        <f aca="false">ROUND($B$2*(1-23/29),2)</f>
        <v>14.28</v>
      </c>
      <c r="C29" s="8"/>
      <c r="D29" s="4" t="str">
        <f aca="false">IF(C29="","",$B$2-C29)</f>
        <v/>
      </c>
      <c r="E29" s="4"/>
    </row>
    <row r="30" customFormat="false" ht="15" hidden="false" customHeight="false" outlineLevel="0" collapsed="false">
      <c r="A30" s="7" t="n">
        <v>46335</v>
      </c>
      <c r="B30" s="4" t="n">
        <f aca="false">ROUND($B$2*(1-24/29),2)</f>
        <v>11.9</v>
      </c>
      <c r="C30" s="8"/>
      <c r="D30" s="4" t="str">
        <f aca="false">IF(C30="","",$B$2-C30)</f>
        <v/>
      </c>
      <c r="E30" s="4"/>
    </row>
    <row r="31" customFormat="false" ht="15" hidden="false" customHeight="false" outlineLevel="0" collapsed="false">
      <c r="A31" s="7" t="n">
        <v>46336</v>
      </c>
      <c r="B31" s="4" t="n">
        <f aca="false">ROUND($B$2*(1-25/29),2)</f>
        <v>9.52</v>
      </c>
      <c r="C31" s="8"/>
      <c r="D31" s="4" t="str">
        <f aca="false">IF(C31="","",$B$2-C31)</f>
        <v/>
      </c>
      <c r="E31" s="4"/>
    </row>
    <row r="32" customFormat="false" ht="15" hidden="false" customHeight="false" outlineLevel="0" collapsed="false">
      <c r="A32" s="7" t="n">
        <v>46337</v>
      </c>
      <c r="B32" s="4" t="n">
        <f aca="false">ROUND($B$2*(1-26/29),2)</f>
        <v>7.14</v>
      </c>
      <c r="C32" s="8"/>
      <c r="D32" s="4" t="str">
        <f aca="false">IF(C32="","",$B$2-C32)</f>
        <v/>
      </c>
      <c r="E32" s="4"/>
    </row>
    <row r="33" customFormat="false" ht="15" hidden="false" customHeight="false" outlineLevel="0" collapsed="false">
      <c r="A33" s="7" t="n">
        <v>46338</v>
      </c>
      <c r="B33" s="4" t="n">
        <f aca="false">ROUND($B$2*(1-27/29),2)</f>
        <v>4.76</v>
      </c>
      <c r="C33" s="8"/>
      <c r="D33" s="4" t="str">
        <f aca="false">IF(C33="","",$B$2-C33)</f>
        <v/>
      </c>
      <c r="E33" s="4"/>
    </row>
    <row r="34" customFormat="false" ht="15" hidden="false" customHeight="false" outlineLevel="0" collapsed="false">
      <c r="A34" s="7" t="n">
        <v>46339</v>
      </c>
      <c r="B34" s="4" t="n">
        <f aca="false">ROUND($B$2*(1-28/29),2)</f>
        <v>2.38</v>
      </c>
      <c r="C34" s="8"/>
      <c r="D34" s="4" t="str">
        <f aca="false">IF(C34="","",$B$2-C34)</f>
        <v/>
      </c>
      <c r="E34" s="4"/>
    </row>
    <row r="35" customFormat="false" ht="15" hidden="false" customHeight="false" outlineLevel="0" collapsed="false">
      <c r="A35" s="7" t="n">
        <v>46342</v>
      </c>
      <c r="B35" s="4" t="n">
        <f aca="false">ROUND($B$2*(1-29/29),2)</f>
        <v>0</v>
      </c>
      <c r="C35" s="8"/>
      <c r="D35" s="4" t="str">
        <f aca="false">IF(C35="","",$B$2-C35)</f>
        <v/>
      </c>
      <c r="E35" s="4"/>
    </row>
    <row r="36" customFormat="false" ht="15" hidden="false" customHeight="false" outlineLevel="0" collapsed="false">
      <c r="A36" s="4"/>
      <c r="B36" s="4"/>
      <c r="C36" s="4"/>
      <c r="D36" s="4"/>
      <c r="E36" s="4"/>
    </row>
    <row r="37" customFormat="false" ht="15" hidden="false" customHeight="false" outlineLevel="0" collapsed="false">
      <c r="A37" s="9" t="s">
        <v>37</v>
      </c>
      <c r="B37" s="4"/>
      <c r="C37" s="4"/>
      <c r="D37" s="4"/>
      <c r="E3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39.55" hidden="false" customHeight="false" outlineLevel="0" collapsed="false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</row>
    <row r="2" customFormat="false" ht="15" hidden="false" customHeight="false" outlineLevel="0" collapsed="false">
      <c r="A2" s="2" t="s">
        <v>49</v>
      </c>
      <c r="B2" s="2" t="s">
        <v>50</v>
      </c>
      <c r="C2" s="2" t="s">
        <v>16</v>
      </c>
      <c r="D2" s="6" t="n">
        <v>8</v>
      </c>
      <c r="E2" s="2" t="s">
        <v>51</v>
      </c>
      <c r="F2" s="2" t="s">
        <v>52</v>
      </c>
      <c r="G2" s="2" t="s">
        <v>53</v>
      </c>
      <c r="H2" s="8" t="s">
        <v>54</v>
      </c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16</v>
      </c>
      <c r="D3" s="6" t="n">
        <v>3</v>
      </c>
      <c r="E3" s="2" t="s">
        <v>57</v>
      </c>
      <c r="F3" s="2" t="s">
        <v>52</v>
      </c>
      <c r="G3" s="2" t="s">
        <v>53</v>
      </c>
      <c r="H3" s="8" t="s">
        <v>54</v>
      </c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16</v>
      </c>
      <c r="D4" s="6" t="n">
        <v>5</v>
      </c>
      <c r="E4" s="2" t="s">
        <v>60</v>
      </c>
      <c r="F4" s="2" t="s">
        <v>52</v>
      </c>
      <c r="G4" s="2" t="s">
        <v>53</v>
      </c>
      <c r="H4" s="8" t="s">
        <v>54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16</v>
      </c>
      <c r="D5" s="6" t="n">
        <v>3</v>
      </c>
      <c r="E5" s="2" t="s">
        <v>63</v>
      </c>
      <c r="F5" s="2" t="s">
        <v>52</v>
      </c>
      <c r="G5" s="2" t="s">
        <v>53</v>
      </c>
      <c r="H5" s="8" t="s">
        <v>54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16</v>
      </c>
      <c r="D6" s="6" t="n">
        <v>3</v>
      </c>
      <c r="E6" s="2" t="s">
        <v>66</v>
      </c>
      <c r="F6" s="2" t="s">
        <v>52</v>
      </c>
      <c r="G6" s="2" t="s">
        <v>53</v>
      </c>
      <c r="H6" s="8" t="s">
        <v>54</v>
      </c>
    </row>
    <row r="7" customFormat="false" ht="15" hidden="false" customHeight="false" outlineLevel="0" collapsed="false">
      <c r="A7" s="2" t="s">
        <v>67</v>
      </c>
      <c r="B7" s="2" t="s">
        <v>68</v>
      </c>
      <c r="C7" s="2" t="s">
        <v>19</v>
      </c>
      <c r="D7" s="6" t="n">
        <v>3</v>
      </c>
      <c r="E7" s="2" t="s">
        <v>69</v>
      </c>
      <c r="F7" s="2" t="s">
        <v>70</v>
      </c>
      <c r="G7" s="2" t="s">
        <v>53</v>
      </c>
      <c r="H7" s="8" t="s">
        <v>54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19</v>
      </c>
      <c r="D8" s="6" t="n">
        <v>3</v>
      </c>
      <c r="E8" s="2" t="s">
        <v>73</v>
      </c>
      <c r="F8" s="2" t="s">
        <v>70</v>
      </c>
      <c r="G8" s="2" t="s">
        <v>53</v>
      </c>
      <c r="H8" s="8" t="s">
        <v>54</v>
      </c>
    </row>
    <row r="9" customFormat="false" ht="15" hidden="false" customHeight="false" outlineLevel="0" collapsed="false">
      <c r="A9" s="2" t="s">
        <v>74</v>
      </c>
      <c r="B9" s="2" t="s">
        <v>75</v>
      </c>
      <c r="C9" s="2" t="s">
        <v>19</v>
      </c>
      <c r="D9" s="6" t="n">
        <v>5</v>
      </c>
      <c r="E9" s="2" t="s">
        <v>76</v>
      </c>
      <c r="F9" s="2" t="s">
        <v>70</v>
      </c>
      <c r="G9" s="2" t="s">
        <v>53</v>
      </c>
      <c r="H9" s="8" t="s">
        <v>54</v>
      </c>
    </row>
    <row r="10" customFormat="false" ht="15" hidden="false" customHeight="false" outlineLevel="0" collapsed="false">
      <c r="A10" s="2" t="s">
        <v>77</v>
      </c>
      <c r="B10" s="2" t="s">
        <v>78</v>
      </c>
      <c r="C10" s="2" t="s">
        <v>19</v>
      </c>
      <c r="D10" s="6" t="n">
        <v>5</v>
      </c>
      <c r="E10" s="2" t="s">
        <v>79</v>
      </c>
      <c r="F10" s="2" t="s">
        <v>70</v>
      </c>
      <c r="G10" s="2" t="s">
        <v>53</v>
      </c>
      <c r="H10" s="8" t="s">
        <v>54</v>
      </c>
    </row>
    <row r="11" customFormat="false" ht="15" hidden="false" customHeight="false" outlineLevel="0" collapsed="false">
      <c r="A11" s="2" t="s">
        <v>80</v>
      </c>
      <c r="B11" s="2" t="s">
        <v>81</v>
      </c>
      <c r="C11" s="2" t="s">
        <v>19</v>
      </c>
      <c r="D11" s="6" t="n">
        <v>5</v>
      </c>
      <c r="E11" s="2" t="s">
        <v>82</v>
      </c>
      <c r="F11" s="2" t="s">
        <v>70</v>
      </c>
      <c r="G11" s="2" t="s">
        <v>53</v>
      </c>
      <c r="H11" s="8" t="s">
        <v>54</v>
      </c>
    </row>
    <row r="12" customFormat="false" ht="15" hidden="false" customHeight="false" outlineLevel="0" collapsed="false">
      <c r="A12" s="2" t="s">
        <v>83</v>
      </c>
      <c r="B12" s="2" t="s">
        <v>84</v>
      </c>
      <c r="C12" s="2" t="s">
        <v>22</v>
      </c>
      <c r="D12" s="6" t="n">
        <v>8</v>
      </c>
      <c r="E12" s="2" t="s">
        <v>85</v>
      </c>
      <c r="F12" s="2" t="s">
        <v>86</v>
      </c>
      <c r="G12" s="2" t="s">
        <v>87</v>
      </c>
      <c r="H12" s="8" t="s">
        <v>88</v>
      </c>
    </row>
    <row r="13" customFormat="false" ht="15" hidden="false" customHeight="false" outlineLevel="0" collapsed="false">
      <c r="A13" s="2" t="s">
        <v>89</v>
      </c>
      <c r="B13" s="2" t="s">
        <v>90</v>
      </c>
      <c r="C13" s="2" t="s">
        <v>22</v>
      </c>
      <c r="D13" s="6" t="n">
        <v>5</v>
      </c>
      <c r="E13" s="2" t="s">
        <v>91</v>
      </c>
      <c r="F13" s="2" t="s">
        <v>86</v>
      </c>
      <c r="G13" s="2" t="s">
        <v>87</v>
      </c>
      <c r="H13" s="8" t="s">
        <v>88</v>
      </c>
    </row>
    <row r="14" customFormat="false" ht="15" hidden="false" customHeight="false" outlineLevel="0" collapsed="false">
      <c r="A14" s="2" t="s">
        <v>92</v>
      </c>
      <c r="B14" s="2" t="s">
        <v>93</v>
      </c>
      <c r="C14" s="2" t="s">
        <v>22</v>
      </c>
      <c r="D14" s="6" t="n">
        <v>5</v>
      </c>
      <c r="E14" s="2" t="s">
        <v>94</v>
      </c>
      <c r="F14" s="2" t="s">
        <v>86</v>
      </c>
      <c r="G14" s="2" t="s">
        <v>87</v>
      </c>
      <c r="H14" s="8" t="s">
        <v>88</v>
      </c>
    </row>
    <row r="15" customFormat="false" ht="15" hidden="false" customHeight="false" outlineLevel="0" collapsed="false">
      <c r="A15" s="2" t="s">
        <v>95</v>
      </c>
      <c r="B15" s="2" t="s">
        <v>96</v>
      </c>
      <c r="C15" s="2" t="s">
        <v>22</v>
      </c>
      <c r="D15" s="6" t="n">
        <v>5</v>
      </c>
      <c r="E15" s="2" t="s">
        <v>97</v>
      </c>
      <c r="F15" s="2" t="s">
        <v>86</v>
      </c>
      <c r="G15" s="2" t="s">
        <v>87</v>
      </c>
      <c r="H15" s="8" t="s">
        <v>88</v>
      </c>
    </row>
    <row r="16" customFormat="false" ht="15" hidden="false" customHeight="false" outlineLevel="0" collapsed="false">
      <c r="A16" s="2" t="s">
        <v>98</v>
      </c>
      <c r="B16" s="2" t="s">
        <v>99</v>
      </c>
      <c r="C16" s="2" t="s">
        <v>22</v>
      </c>
      <c r="D16" s="6" t="n">
        <v>3</v>
      </c>
      <c r="E16" s="2" t="s">
        <v>100</v>
      </c>
      <c r="F16" s="2" t="s">
        <v>86</v>
      </c>
      <c r="G16" s="2" t="s">
        <v>87</v>
      </c>
      <c r="H16" s="8" t="s">
        <v>88</v>
      </c>
    </row>
    <row r="17" customFormat="false" ht="15" hidden="false" customHeight="false" outlineLevel="0" collapsed="false">
      <c r="A17" s="2" t="s">
        <v>101</v>
      </c>
      <c r="B17" s="2" t="s">
        <v>102</v>
      </c>
      <c r="C17" s="2" t="s">
        <v>103</v>
      </c>
      <c r="D17" s="6" t="n">
        <v>3</v>
      </c>
      <c r="E17" s="2" t="s">
        <v>104</v>
      </c>
      <c r="F17" s="2"/>
      <c r="G17" s="2" t="s">
        <v>87</v>
      </c>
      <c r="H17" s="8" t="s">
        <v>88</v>
      </c>
    </row>
    <row r="18" customFormat="false" ht="15" hidden="false" customHeight="false" outlineLevel="0" collapsed="false">
      <c r="A18" s="2" t="s">
        <v>105</v>
      </c>
      <c r="B18" s="2" t="s">
        <v>106</v>
      </c>
      <c r="C18" s="2" t="s">
        <v>103</v>
      </c>
      <c r="D18" s="6" t="n">
        <v>3</v>
      </c>
      <c r="E18" s="2" t="s">
        <v>107</v>
      </c>
      <c r="F18" s="2"/>
      <c r="G18" s="2" t="s">
        <v>87</v>
      </c>
      <c r="H18" s="8" t="s">
        <v>88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 t="s">
        <v>108</v>
      </c>
      <c r="D20" s="4" t="n">
        <f aca="false">SUMIFS(D2:D18,C2:C18,"Sprint*")</f>
        <v>69</v>
      </c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 t="s">
        <v>109</v>
      </c>
      <c r="D21" s="4" t="n">
        <f aca="false">SUMIFS(D2:D18,C2:C18,"Sprint*",H2:H18,"Sí")</f>
        <v>43</v>
      </c>
      <c r="E21" s="4"/>
      <c r="F21" s="4"/>
      <c r="G21" s="4"/>
      <c r="H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2026-10-27T20:38:52Z</dcterms:created>
  <dc:creator>openpyxl</dc:creator>
  <dc:description/>
  <dc:language>en-US</dc:language>
  <cp:lastModifiedBy/>
  <dcterms:modified xsi:type="dcterms:W3CDTF">2026-10-27T15:39:03Z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